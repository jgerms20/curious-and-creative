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Assumptions" sheetId="2" state="visible" r:id="rId4"/>
    <sheet name="Unit Economics" sheetId="3" state="visible" r:id="rId5"/>
    <sheet name="Scenarios" sheetId="4" state="visible" r:id="rId6"/>
    <sheet name="Cost Lines" sheetId="5" state="visible" r:id="rId7"/>
    <sheet name="12-Month Plan" sheetId="6" state="visible" r:id="rId8"/>
    <sheet name="Sensitivity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<sst xmlns="http://schemas.openxmlformats.org/spreadsheetml/2006/main" count="438" uniqueCount="329">
  <si>
    <t xml:space="preserve">Project Earlobe — cost-out &amp; ROI model (Curious &amp; Creative Network)</t>
  </si>
  <si>
    <t xml:space="preserve">Prices as of Oct 2026 — verify before buying. Built by finance/build_cost_model.py.</t>
  </si>
  <si>
    <t xml:space="preserve">How to use</t>
  </si>
  <si>
    <t xml:space="preserve">1.</t>
  </si>
  <si>
    <t xml:space="preserve">Change inputs only on the Assumptions tab (blue text; yellow = key levers).</t>
  </si>
  <si>
    <t xml:space="preserve">2.</t>
  </si>
  <si>
    <t xml:space="preserve">Pick the revenue case (Conservative / Base / Optimistic) at the top of Assumptions.</t>
  </si>
  <si>
    <t xml:space="preserve">3.</t>
  </si>
  <si>
    <t xml:space="preserve">Read results on Scenarios (monthly steady state), 12-Month Plan (cash + payback) and Sensitivity.</t>
  </si>
  <si>
    <t xml:space="preserve">Colors</t>
  </si>
  <si>
    <t xml:space="preserve">Blue = input · Black = formula · Green = link to another tab · Yellow fill = key lever</t>
  </si>
  <si>
    <t xml:space="preserve">Scenarios</t>
  </si>
  <si>
    <t xml:space="preserve">Test = Columbia + LA + national shows · Wave 1 = + NYC/Chicago/more, first niche feeds · Scale = 25 markets, 150+ shows · Dominate = 100 markets, ~700 shows</t>
  </si>
  <si>
    <t xml:space="preserve">Honesty note</t>
  </si>
  <si>
    <t xml:space="preserve">Downloads, CPM fill and sponsor counts are estimates until real analytics arrive. Replace them with actuals monthly; the Finance/Bookkeeping Reporter agent does this.</t>
  </si>
  <si>
    <t xml:space="preserve">Headline (current revenue case)</t>
  </si>
  <si>
    <t xml:space="preserve">Test markets</t>
  </si>
  <si>
    <t xml:space="preserve">Wave 1</t>
  </si>
  <si>
    <t xml:space="preserve">Scale</t>
  </si>
  <si>
    <t xml:space="preserve">Dominate</t>
  </si>
  <si>
    <t xml:space="preserve">Shows</t>
  </si>
  <si>
    <t xml:space="preserve">Episodes / month</t>
  </si>
  <si>
    <t xml:space="preserve">Downloads / month</t>
  </si>
  <si>
    <t xml:space="preserve">Total monthly cost</t>
  </si>
  <si>
    <t xml:space="preserve">Total monthly revenue</t>
  </si>
  <si>
    <t xml:space="preserve">Net / month</t>
  </si>
  <si>
    <t xml:space="preserve">Network-only net / month (no B2B/API/services)</t>
  </si>
  <si>
    <t xml:space="preserve">Payback month (12-Month Plan)</t>
  </si>
  <si>
    <t xml:space="preserve">Max cash needed before payback</t>
  </si>
  <si>
    <t xml:space="preserve">Year-1 ROI</t>
  </si>
  <si>
    <t xml:space="preserve">Assumptions — every input lives here (blue = editable)</t>
  </si>
  <si>
    <t xml:space="preserve">Prices as of Oct 2026 — verify before buying. (inference) = our estimate, not a quoted price.</t>
  </si>
  <si>
    <t xml:space="preserve">Model selectors</t>
  </si>
  <si>
    <t xml:space="preserve">Revenue case (1 = Conservative, 2 = Base, 3 = Optimistic)</t>
  </si>
  <si>
    <t xml:space="preserve">Scenario used for unit economics (1 = Test … 4 = Dominate)</t>
  </si>
  <si>
    <t xml:space="preserve">Global</t>
  </si>
  <si>
    <t xml:space="preserve">Input</t>
  </si>
  <si>
    <t xml:space="preserve">Value</t>
  </si>
  <si>
    <t xml:space="preserve">Unit</t>
  </si>
  <si>
    <t xml:space="preserve">Source / note</t>
  </si>
  <si>
    <t xml:space="preserve">Spoken characters per audio minute</t>
  </si>
  <si>
    <t xml:space="preserve">chars/min</t>
  </si>
  <si>
    <t xml:space="preserve">ElevenLabs guidance ~1,000 chars ≈ 1 min (F-TTS)</t>
  </si>
  <si>
    <t xml:space="preserve">ElevenLabs credits per character</t>
  </si>
  <si>
    <t xml:space="preserve">credits</t>
  </si>
  <si>
    <t xml:space="preserve">1.0 for highest-quality voices; some faster models bill ~0.5 (F-TTS) — verify per model</t>
  </si>
  <si>
    <t xml:space="preserve">Weekdays per month</t>
  </si>
  <si>
    <t xml:space="preserve">days</t>
  </si>
  <si>
    <t xml:space="preserve">365×5/7/12</t>
  </si>
  <si>
    <t xml:space="preserve">Days per month</t>
  </si>
  <si>
    <t xml:space="preserve">Prompt-caching savings on LLM input</t>
  </si>
  <si>
    <t xml:space="preserve">%</t>
  </si>
  <si>
    <t xml:space="preserve">(inference) system prompts + rubrics cached; cache reads bill at 0.1× input</t>
  </si>
  <si>
    <t xml:space="preserve">Share of episodes that need a REWRITE loop</t>
  </si>
  <si>
    <t xml:space="preserve">(inference) tune from gate logs after launch</t>
  </si>
  <si>
    <t xml:space="preserve">Cost of one rewrite loop vs a first pass</t>
  </si>
  <si>
    <t xml:space="preserve">x</t>
  </si>
  <si>
    <t xml:space="preserve">(inference) writer + re-check of changed claims</t>
  </si>
  <si>
    <t xml:space="preserve">Batch API discount (evergreen only)</t>
  </si>
  <si>
    <t xml:space="preserve">Anthropic Message Batches: 50% off (F-LLM)</t>
  </si>
  <si>
    <t xml:space="preserve">Claude API list prices (per million tokens)</t>
  </si>
  <si>
    <t xml:space="preserve">Tier</t>
  </si>
  <si>
    <t xml:space="preserve">Input $/M</t>
  </si>
  <si>
    <t xml:space="preserve">Output $/M</t>
  </si>
  <si>
    <t xml:space="preserve">opus</t>
  </si>
  <si>
    <t xml:space="preserve">Anthropic list price, Oct 2026 (F-LLM)</t>
  </si>
  <si>
    <t xml:space="preserve">sonnet</t>
  </si>
  <si>
    <t xml:space="preserve">haiku</t>
  </si>
  <si>
    <t xml:space="preserve">Web search, $ per 1,000 searches</t>
  </si>
  <si>
    <t xml:space="preserve">Anthropic web search tool (F-LLM)</t>
  </si>
  <si>
    <t xml:space="preserve">Per-episode agent work — baseline 7-minute verified news brief</t>
  </si>
  <si>
    <t xml:space="preserve">Agent step</t>
  </si>
  <si>
    <t xml:space="preserve">Input tokens</t>
  </si>
  <si>
    <t xml:space="preserve">Output tokens</t>
  </si>
  <si>
    <t xml:space="preserve">Web searches</t>
  </si>
  <si>
    <t xml:space="preserve">Cost / episode</t>
  </si>
  <si>
    <t xml:space="preserve">Story triage (Story Desk)</t>
  </si>
  <si>
    <t xml:space="preserve">Producer / scriptwriter</t>
  </si>
  <si>
    <t xml:space="preserve">Claim extractor</t>
  </si>
  <si>
    <t xml:space="preserve">Source verifier (blind, web search)</t>
  </si>
  <si>
    <t xml:space="preserve">Fact checker</t>
  </si>
  <si>
    <t xml:space="preserve">Bias checker</t>
  </si>
  <si>
    <t xml:space="preserve">Legal / defamation screener</t>
  </si>
  <si>
    <t xml:space="preserve">Copywriter (title, notes, social)</t>
  </si>
  <si>
    <t xml:space="preserve">Disclosure + QA listener</t>
  </si>
  <si>
    <t xml:space="preserve">Baseline LLM + search cost per episode (before caching/rewrites)</t>
  </si>
  <si>
    <t xml:space="preserve">Show types</t>
  </si>
  <si>
    <t xml:space="preserve">Show type</t>
  </si>
  <si>
    <t xml:space="preserve">Minutes / episode</t>
  </si>
  <si>
    <t xml:space="preserve">Episodes / month / show</t>
  </si>
  <si>
    <t xml:space="preserve">LLM work vs baseline</t>
  </si>
  <si>
    <t xml:space="preserve">Batch-eligible (1/0)</t>
  </si>
  <si>
    <t xml:space="preserve">Ad slots / episode</t>
  </si>
  <si>
    <t xml:space="preserve">Downloads / episode (base, test stage)</t>
  </si>
  <si>
    <t xml:space="preserve">Local daily brief</t>
  </si>
  <si>
    <t xml:space="preserve">(inference) — replace with real analytics after launch</t>
  </si>
  <si>
    <t xml:space="preserve">Breaking Desk feed</t>
  </si>
  <si>
    <t xml:space="preserve">Courts roundup</t>
  </si>
  <si>
    <t xml:space="preserve">Case Tracker (weekly + flashes)</t>
  </si>
  <si>
    <t xml:space="preserve">Cold Case Files</t>
  </si>
  <si>
    <t xml:space="preserve">Archive series (History of Hollywood, hometown)</t>
  </si>
  <si>
    <t xml:space="preserve">Hyper-specific always-on feed</t>
  </si>
  <si>
    <t xml:space="preserve">Number of shows by scenario</t>
  </si>
  <si>
    <t xml:space="preserve">Audience maturity multiplier on downloads</t>
  </si>
  <si>
    <t xml:space="preserve">ElevenLabs plans (voice engine)</t>
  </si>
  <si>
    <t xml:space="preserve">Plan</t>
  </si>
  <si>
    <t xml:space="preserve">$ / month</t>
  </si>
  <si>
    <t xml:space="preserve">Credits / month</t>
  </si>
  <si>
    <t xml:space="preserve">$ per 1k credits</t>
  </si>
  <si>
    <t xml:space="preserve">Creator</t>
  </si>
  <si>
    <t xml:space="preserve">elevenlabs.io/pricing, Oct 2026 (F-TTS)</t>
  </si>
  <si>
    <t xml:space="preserve">Pro</t>
  </si>
  <si>
    <t xml:space="preserve">Business</t>
  </si>
  <si>
    <t xml:space="preserve">Enterprise (negotiated)</t>
  </si>
  <si>
    <t xml:space="preserve">(inference) negotiated volume deal</t>
  </si>
  <si>
    <t xml:space="preserve">Plan used by scenario</t>
  </si>
  <si>
    <t xml:space="preserve">Plan name (must match a plan above)</t>
  </si>
  <si>
    <t xml:space="preserve">Overage, $ per 1k extra credits</t>
  </si>
  <si>
    <t xml:space="preserve">Revenue rates by case</t>
  </si>
  <si>
    <t xml:space="preserve">Rate</t>
  </si>
  <si>
    <t xml:space="preserve">Conservative</t>
  </si>
  <si>
    <t xml:space="preserve">Base</t>
  </si>
  <si>
    <t xml:space="preserve">Optimistic</t>
  </si>
  <si>
    <t xml:space="preserve">Programmatic CPM (gross, per 1,000 ad impressions)</t>
  </si>
  <si>
    <t xml:space="preserve">$</t>
  </si>
  <si>
    <t xml:space="preserve">Ad fill rate</t>
  </si>
  <si>
    <t xml:space="preserve">Our share after host/marketplace</t>
  </si>
  <si>
    <t xml:space="preserve">Local sponsor, $ per show per month</t>
  </si>
  <si>
    <t xml:space="preserve">B2B white-label brief, $ per client per month</t>
  </si>
  <si>
    <t xml:space="preserve">Trust Stack API, $ per client per month</t>
  </si>
  <si>
    <t xml:space="preserve">Studio Services project, $ each</t>
  </si>
  <si>
    <t xml:space="preserve">Premium/ad-free subscription, $ per month</t>
  </si>
  <si>
    <t xml:space="preserve">Premium: share kept after platform fees</t>
  </si>
  <si>
    <t xml:space="preserve">Revenue volume by scenario</t>
  </si>
  <si>
    <t xml:space="preserve">Driver</t>
  </si>
  <si>
    <t xml:space="preserve">Local sponsors per local/courts show</t>
  </si>
  <si>
    <t xml:space="preserve">B2B white-label clients</t>
  </si>
  <si>
    <t xml:space="preserve">Trust Stack API clients</t>
  </si>
  <si>
    <t xml:space="preserve">Studio Services projects per month</t>
  </si>
  <si>
    <t xml:space="preserve">Premium subscribers</t>
  </si>
  <si>
    <t xml:space="preserve">12-month plan inputs</t>
  </si>
  <si>
    <t xml:space="preserve">Month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</si>
  <si>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</si>
  <si>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</si>
  <si>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</si>
  <si>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</si>
  <si>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</si>
  <si>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</si>
  <si>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</si>
  <si>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</si>
  <si>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</si>
  <si>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</si>
  <si>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</si>
  <si>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</si>
  <si>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Stage (1 Test, 2 Wave 1, 3 Scale, 4 Dominate)</t>
  </si>
  <si>
    <t xml:space="preserve">Audience ramp (share of steady-state downloads)</t>
  </si>
  <si>
    <t xml:space="preserve">Unit economics — cost and break-even per episode</t>
  </si>
  <si>
    <t xml:space="preserve">Voice cost uses the effective $/credit of the scenario chosen on Assumptions (unit-economics scenario).</t>
  </si>
  <si>
    <t xml:space="preserve">Minutes</t>
  </si>
  <si>
    <t xml:space="preserve">LLM + search $ / ep</t>
  </si>
  <si>
    <t xml:space="preserve">Voice $ / ep</t>
  </si>
  <si>
    <t xml:space="preserve">Variable cost $ / ep</t>
  </si>
  <si>
    <t xml:space="preserve">Revenue $ per download</t>
  </si>
  <si>
    <t xml:space="preserve">Break-even downloads / ep</t>
  </si>
  <si>
    <t xml:space="preserve">Base downloads / ep (scenario)</t>
  </si>
  <si>
    <t xml:space="preserve">Margin $ / ep at base downloads</t>
  </si>
  <si>
    <t xml:space="preserve">Read this as: an episode pays for itself once it reaches the break-even downloads from ads alone. Sponsors, B2B, API and services revenue sit on top (Scenarios tab).</t>
  </si>
  <si>
    <t xml:space="preserve">Scenarios — monthly steady state</t>
  </si>
  <si>
    <t xml:space="preserve">Revenue case set on Assumptions. All values per month.</t>
  </si>
  <si>
    <t xml:space="preserve">Line</t>
  </si>
  <si>
    <t xml:space="preserve">  Local daily brief</t>
  </si>
  <si>
    <t xml:space="preserve">  Breaking Desk feed</t>
  </si>
  <si>
    <t xml:space="preserve">  Courts roundup</t>
  </si>
  <si>
    <t xml:space="preserve">  Case Tracker (weekly + flashes)</t>
  </si>
  <si>
    <t xml:space="preserve">  Cold Case Files</t>
  </si>
  <si>
    <t xml:space="preserve">  Archive series (History of Hollywood, hometown)</t>
  </si>
  <si>
    <t xml:space="preserve">  Hyper-specific always-on feed</t>
  </si>
  <si>
    <t xml:space="preserve">Total shows</t>
  </si>
  <si>
    <t xml:space="preserve">Episodes per month</t>
  </si>
  <si>
    <t xml:space="preserve">Total episodes / month</t>
  </si>
  <si>
    <t xml:space="preserve">Audio minutes / month</t>
  </si>
  <si>
    <t xml:space="preserve">Voice credits needed / month</t>
  </si>
  <si>
    <t xml:space="preserve">ElevenLabs plan price</t>
  </si>
  <si>
    <t xml:space="preserve">Plan credits included</t>
  </si>
  <si>
    <t xml:space="preserve">Overage credits</t>
  </si>
  <si>
    <t xml:space="preserve">Voice (ElevenLabs) cost / month</t>
  </si>
  <si>
    <t xml:space="preserve">Effective $ per voice credit</t>
  </si>
  <si>
    <t xml:space="preserve">Claude API (agents + web search) / month</t>
  </si>
  <si>
    <t xml:space="preserve">Fixed operating costs / month (Cost Lines)</t>
  </si>
  <si>
    <t xml:space="preserve">TOTAL MONTHLY COST</t>
  </si>
  <si>
    <t xml:space="preserve">Cost per episode (all-in)</t>
  </si>
  <si>
    <t xml:space="preserve">Audience &amp; revenue</t>
  </si>
  <si>
    <t xml:space="preserve">Programmatic ad revenue</t>
  </si>
  <si>
    <t xml:space="preserve">Local sponsors (local + courts shows)</t>
  </si>
  <si>
    <t xml:space="preserve">B2B white-label briefs</t>
  </si>
  <si>
    <t xml:space="preserve">Trust Stack API</t>
  </si>
  <si>
    <t xml:space="preserve">C&amp;C Studio Services</t>
  </si>
  <si>
    <t xml:space="preserve">Premium subscriptions</t>
  </si>
  <si>
    <t xml:space="preserve">TOTAL MONTHLY REVENUE</t>
  </si>
  <si>
    <t xml:space="preserve">NET / MONTH</t>
  </si>
  <si>
    <t xml:space="preserve">Margin</t>
  </si>
  <si>
    <t xml:space="preserve">Ads share of revenue</t>
  </si>
  <si>
    <t xml:space="preserve">Annualized net</t>
  </si>
  <si>
    <t xml:space="preserve">Network-only revenue (ads + sponsors + premium)</t>
  </si>
  <si>
    <t xml:space="preserve">Network-only net (excludes B2B, API, Studio Services)</t>
  </si>
  <si>
    <t xml:space="preserve">Cost-out — every cost line by scenario (monthly unless one-time)</t>
  </si>
  <si>
    <t xml:space="preserve">Variable lines link to Scenarios; fixed lines = unit cost × quantity. Edit blue cells.</t>
  </si>
  <si>
    <t xml:space="preserve">Category</t>
  </si>
  <si>
    <t xml:space="preserve">Item</t>
  </si>
  <si>
    <t xml:space="preserve">Vendor / plan</t>
  </si>
  <si>
    <t xml:space="preserve">Type</t>
  </si>
  <si>
    <t xml:space="preserve">Unit cost $/mo</t>
  </si>
  <si>
    <t xml:space="preserve">Qty: Test</t>
  </si>
  <si>
    <t xml:space="preserve">Qty: Wave 1</t>
  </si>
  <si>
    <t xml:space="preserve">Qty: Scale</t>
  </si>
  <si>
    <t xml:space="preserve">Qty: Dominate</t>
  </si>
  <si>
    <t xml:space="preserve">$/mo Test</t>
  </si>
  <si>
    <t xml:space="preserve">$/mo Wave 1</t>
  </si>
  <si>
    <t xml:space="preserve">$/mo Scale</t>
  </si>
  <si>
    <t xml:space="preserve">$/mo Dominate</t>
  </si>
  <si>
    <t xml:space="preserve">Variable</t>
  </si>
  <si>
    <t xml:space="preserve">Claude API — agents + web search</t>
  </si>
  <si>
    <t xml:space="preserve">usage-based</t>
  </si>
  <si>
    <t xml:space="preserve">variable</t>
  </si>
  <si>
    <t xml:space="preserve">From Scenarios (episodes × per-episode cost)</t>
  </si>
  <si>
    <t xml:space="preserve">ElevenLabs voice</t>
  </si>
  <si>
    <t xml:space="preserve">Hosting</t>
  </si>
  <si>
    <t xml:space="preserve">Podcast hosting + dynamic ad insertion</t>
  </si>
  <si>
    <t xml:space="preserve">Multi-show host (see cost-analysis.md)</t>
  </si>
  <si>
    <t xml:space="preserve">monthly</t>
  </si>
  <si>
    <t xml:space="preserve">Plan tiers scale with downloads/shows (F-HOST) — verify</t>
  </si>
  <si>
    <t xml:space="preserve">Insurance</t>
  </si>
  <si>
    <t xml:space="preserve">Media liability / E&amp;O</t>
  </si>
  <si>
    <t xml:space="preserve">Online insurer quote</t>
  </si>
  <si>
    <t xml:space="preserve">Insureon avg ~$78/mo; larger limits at scale (F-LEGAL)</t>
  </si>
  <si>
    <t xml:space="preserve">Infrastructure</t>
  </si>
  <si>
    <t xml:space="preserve">GitHub (Actions minutes, private repos)</t>
  </si>
  <si>
    <t xml:space="preserve">GitHub Free → Team</t>
  </si>
  <si>
    <t xml:space="preserve">Public repo Actions are free; Team $4/user if needed</t>
  </si>
  <si>
    <t xml:space="preserve">Database (Supabase)</t>
  </si>
  <si>
    <t xml:space="preserve">Free → Pro</t>
  </si>
  <si>
    <t xml:space="preserve">Free tier at test; set to 25 for Pro</t>
  </si>
  <si>
    <t xml:space="preserve">Compute for always-on agents / runners</t>
  </si>
  <si>
    <t xml:space="preserve">VPS or managed runners</t>
  </si>
  <si>
    <t xml:space="preserve">(inference) GitHub Actions covers early stages</t>
  </si>
  <si>
    <t xml:space="preserve">Data</t>
  </si>
  <si>
    <t xml:space="preserve">News/search data APIs beyond RSS</t>
  </si>
  <si>
    <t xml:space="preserve">e.g. news API, court data</t>
  </si>
  <si>
    <t xml:space="preserve">(inference) RSS, GDELT, CourtListener free tiers first (F-DATA)</t>
  </si>
  <si>
    <t xml:space="preserve">Voice</t>
  </si>
  <si>
    <t xml:space="preserve">Google AI Pro (NotebookLM, optional)</t>
  </si>
  <si>
    <t xml:space="preserve">Google AI Pro</t>
  </si>
  <si>
    <t xml:space="preserve">Optional; prototyping only (F-TTS)</t>
  </si>
  <si>
    <t xml:space="preserve">Admin</t>
  </si>
  <si>
    <t xml:space="preserve">Domain + email</t>
  </si>
  <si>
    <t xml:space="preserve">Registrar + mailbox</t>
  </si>
  <si>
    <t xml:space="preserve">(inference)</t>
  </si>
  <si>
    <t xml:space="preserve">Bookkeeping software</t>
  </si>
  <si>
    <t xml:space="preserve">e.g. QuickBooks/Wave</t>
  </si>
  <si>
    <t xml:space="preserve">Design tools (cover art, clips)</t>
  </si>
  <si>
    <t xml:space="preserve">Canva Pro or similar</t>
  </si>
  <si>
    <t xml:space="preserve">People</t>
  </si>
  <si>
    <t xml:space="preserve">Contract help (sales, legal on retainer)</t>
  </si>
  <si>
    <t xml:space="preserve">Freelance</t>
  </si>
  <si>
    <t xml:space="preserve">(inference) first hires come from revenue</t>
  </si>
  <si>
    <t xml:space="preserve">Fixed operating subtotal</t>
  </si>
  <si>
    <t xml:space="preserve">TOTAL MONTHLY (variable + fixed)</t>
  </si>
  <si>
    <t xml:space="preserve">One-time startup costs</t>
  </si>
  <si>
    <t xml:space="preserve">Cost $</t>
  </si>
  <si>
    <t xml:space="preserve">Note / source</t>
  </si>
  <si>
    <t xml:space="preserve">Legal</t>
  </si>
  <si>
    <t xml:space="preserve">Media-lawyer consult on standards + courts/crime lanes</t>
  </si>
  <si>
    <t xml:space="preserve">(inference) 3–5 hrs</t>
  </si>
  <si>
    <t xml:space="preserve">Trademark: 'Curious &amp; Creative Network' (2 classes)</t>
  </si>
  <si>
    <t xml:space="preserve">USPTO $350/class (F-LEGAL)</t>
  </si>
  <si>
    <t xml:space="preserve">DBA / assumed-name filing</t>
  </si>
  <si>
    <t xml:space="preserve">Varies by state/county (F-LEGAL)</t>
  </si>
  <si>
    <t xml:space="preserve">Brand</t>
  </si>
  <si>
    <t xml:space="preserve">Network + show cover art and sonic logo</t>
  </si>
  <si>
    <t xml:space="preserve">Domain registration (year 1)</t>
  </si>
  <si>
    <t xml:space="preserve">Voice design / pronunciation dictionaries setup</t>
  </si>
  <si>
    <t xml:space="preserve">Included in ElevenLabs plan</t>
  </si>
  <si>
    <t xml:space="preserve">Total one-time</t>
  </si>
  <si>
    <t xml:space="preserve">12-month cash curve and payback</t>
  </si>
  <si>
    <t xml:space="preserve">Stage and audience ramp per month are set on Assumptions.</t>
  </si>
  <si>
    <t xml:space="preserve">Stage</t>
  </si>
  <si>
    <t xml:space="preserve">Audience ramp</t>
  </si>
  <si>
    <t xml:space="preserve">Operating cost</t>
  </si>
  <si>
    <t xml:space="preserve">One-time cost</t>
  </si>
  <si>
    <t xml:space="preserve">Ad revenue</t>
  </si>
  <si>
    <t xml:space="preserve">Other revenue</t>
  </si>
  <si>
    <t xml:space="preserve">Total revenue</t>
  </si>
  <si>
    <t xml:space="preserve">Net</t>
  </si>
  <si>
    <t xml:space="preserve">Cumulative cash</t>
  </si>
  <si>
    <t xml:space="preserve">Payback flag</t>
  </si>
  <si>
    <t xml:space="preserve">Network-only net</t>
  </si>
  <si>
    <t xml:space="preserve">Network-only cumulative</t>
  </si>
  <si>
    <t xml:space="preserve">Every show in a stage publishes from its first month, so operating cost is charged in full; only revenue follows the audience ramp (conservative on purpose).</t>
  </si>
  <si>
    <t xml:space="preserve">Payback month</t>
  </si>
  <si>
    <t xml:space="preserve">Lowest cash point (max investment needed)</t>
  </si>
  <si>
    <t xml:space="preserve">Year-1 revenue</t>
  </si>
  <si>
    <t xml:space="preserve">Year-1 total cost</t>
  </si>
  <si>
    <t xml:space="preserve">Year-1 ROI (net ÷ total cost)</t>
  </si>
  <si>
    <t xml:space="preserve">Network-only: lowest cash point</t>
  </si>
  <si>
    <t xml:space="preserve">Network-only: year-1 cumulative net</t>
  </si>
  <si>
    <t xml:space="preserve">Sensitivity — monthly net at the Scale scenario</t>
  </si>
  <si>
    <t xml:space="preserve">Rows: gross programmatic CPM. Columns: average downloads per episode across the network. Other revenue and all costs held at the Scale scenario.</t>
  </si>
  <si>
    <t xml:space="preserve">CPM ↓  /  downloads per episode →</t>
  </si>
  <si>
    <t xml:space="preserve">Break-even downloads per episode (ads only), by CPM — Scale scenario costs</t>
  </si>
  <si>
    <t xml:space="preserve">CPM</t>
  </si>
  <si>
    <t xml:space="preserve">Break-even downloads / episode (network average)</t>
  </si>
  <si>
    <t xml:space="preserve">Sources</t>
  </si>
  <si>
    <t xml:space="preserve">Full citations with links: docs/research/facts-and-figures.md (IDs F-...).</t>
  </si>
  <si>
    <t xml:space="preserve">ID</t>
  </si>
  <si>
    <t xml:space="preserve">What</t>
  </si>
  <si>
    <t xml:space="preserve">F-LLM</t>
  </si>
  <si>
    <t xml:space="preserve">Anthropic API list prices by tier, web search $10/1k, batch 50% off, cache reads 0.1× (Oct 2026)</t>
  </si>
  <si>
    <t xml:space="preserve">F-TTS</t>
  </si>
  <si>
    <t xml:space="preserve">ElevenLabs pricing page: Creator $22/121k, Pro $99/600k, Scale $299/1.8M, Business $990/6M credits</t>
  </si>
  <si>
    <t xml:space="preserve">F-HOST</t>
  </si>
  <si>
    <t xml:space="preserve">Podcast host plans with dynamic ad insertion and programmatic marketplaces</t>
  </si>
  <si>
    <t xml:space="preserve">F-ADS</t>
  </si>
  <si>
    <t xml:space="preserve">Podcast CPM benchmarks (programmatic ~$5–$25), fill and revenue share</t>
  </si>
  <si>
    <t xml:space="preserve">F-LEGAL</t>
  </si>
  <si>
    <t xml:space="preserve">Media liability insurance (~$78/mo avg, Insureon); USPTO $350/class; DBA fees</t>
  </si>
  <si>
    <t xml:space="preserve">F-DATA</t>
  </si>
  <si>
    <t xml:space="preserve">RSS, GDELT, CourtListener free tiers; paid news APIs</t>
  </si>
  <si>
    <t xml:space="preserve">inference</t>
  </si>
  <si>
    <t xml:space="preserve">Downloads per episode, sponsor counts, B2B/API/services volumes and rates are planning estimates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</si>
</sst>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\$#,##0;&quot;($&quot;#,##0\);\-"/>
    <numFmt numFmtId="167" formatCode="0.0%;\(0.0%\);\-"/>
    <numFmt numFmtId="168" formatCode="0.00"/>
    <numFmt numFmtId="169" formatCode="\$#,##0.00;&quot;($&quot;#,##0.00\);\-"/>
    <numFmt numFmtId="170" formatCode="#,##0.0;\(#,##0.0\);\-"/>
    <numFmt numFmtId="171" formatCode="0.0\x"/>
    <numFmt numFmtId="172" formatCode="\$#,##0.0000"/>
    <numFmt numFmtId="173" formatCode="\$#,##0.00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8EE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  <col collapsed="false" customWidth="true" hidden="false" outlineLevel="0" max="6" min="3" style="0" width="16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2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4" t="s">
        <v>3</v>
      </c>
      <c r="B5" s="2" t="s">
        <v>4</v>
      </c>
      <c r="C5" s="2"/>
      <c r="D5" s="2"/>
      <c r="E5" s="2"/>
      <c r="F5" s="2"/>
    </row>
    <row r="6" customFormat="false" ht="15" hidden="false" customHeight="false" outlineLevel="0" collapsed="false">
      <c r="A6" s="4" t="s">
        <v>5</v>
      </c>
      <c r="B6" s="2" t="s">
        <v>6</v>
      </c>
      <c r="C6" s="2"/>
      <c r="D6" s="2"/>
      <c r="E6" s="2"/>
      <c r="F6" s="2"/>
    </row>
    <row r="7" customFormat="false" ht="15" hidden="false" customHeight="false" outlineLevel="0" collapsed="false">
      <c r="A7" s="4" t="s">
        <v>7</v>
      </c>
      <c r="B7" s="2" t="s">
        <v>8</v>
      </c>
      <c r="C7" s="2"/>
      <c r="D7" s="2"/>
      <c r="E7" s="2"/>
      <c r="F7" s="2"/>
    </row>
    <row r="8" customFormat="false" ht="15" hidden="false" customHeight="false" outlineLevel="0" collapsed="false">
      <c r="A8" s="4" t="s">
        <v>9</v>
      </c>
      <c r="B8" s="2" t="s">
        <v>10</v>
      </c>
      <c r="C8" s="2"/>
      <c r="D8" s="2"/>
      <c r="E8" s="2"/>
      <c r="F8" s="2"/>
    </row>
    <row r="9" customFormat="false" ht="15" hidden="false" customHeight="false" outlineLevel="0" collapsed="false">
      <c r="A9" s="4" t="s">
        <v>11</v>
      </c>
      <c r="B9" s="2" t="s">
        <v>12</v>
      </c>
      <c r="C9" s="2"/>
      <c r="D9" s="2"/>
      <c r="E9" s="2"/>
      <c r="F9" s="2"/>
    </row>
    <row r="10" customFormat="false" ht="15" hidden="false" customHeight="false" outlineLevel="0" collapsed="false">
      <c r="A10" s="4" t="s">
        <v>13</v>
      </c>
      <c r="B10" s="2" t="s">
        <v>14</v>
      </c>
      <c r="C10" s="2"/>
      <c r="D10" s="2"/>
      <c r="E10" s="2"/>
      <c r="F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  <row r="12" customFormat="false" ht="15" hidden="false" customHeight="false" outlineLevel="0" collapsed="false">
      <c r="A12" s="5" t="s">
        <v>15</v>
      </c>
      <c r="B12" s="5"/>
      <c r="C12" s="5" t="s">
        <v>16</v>
      </c>
      <c r="D12" s="5" t="s">
        <v>17</v>
      </c>
      <c r="E12" s="5" t="s">
        <v>18</v>
      </c>
      <c r="F12" s="5" t="s">
        <v>19</v>
      </c>
    </row>
    <row r="13" customFormat="false" ht="15" hidden="false" customHeight="false" outlineLevel="0" collapsed="false">
      <c r="A13" s="2" t="s">
        <v>20</v>
      </c>
      <c r="B13" s="2"/>
      <c r="C13" s="6" t="n">
        <f aca="false">Scenarios!C12</f>
        <v>7</v>
      </c>
      <c r="D13" s="6" t="n">
        <f aca="false">Scenarios!D12</f>
        <v>27</v>
      </c>
      <c r="E13" s="6" t="n">
        <f aca="false">Scenarios!E12</f>
        <v>157</v>
      </c>
      <c r="F13" s="6" t="n">
        <f aca="false">Scenarios!F12</f>
        <v>693</v>
      </c>
    </row>
    <row r="14" customFormat="false" ht="15" hidden="false" customHeight="false" outlineLevel="0" collapsed="false">
      <c r="A14" s="2" t="s">
        <v>21</v>
      </c>
      <c r="B14" s="2"/>
      <c r="C14" s="6" t="n">
        <f aca="false">Scenarios!C21</f>
        <v>125.1</v>
      </c>
      <c r="D14" s="6" t="n">
        <f aca="false">Scenarios!D21</f>
        <v>444.3</v>
      </c>
      <c r="E14" s="6" t="n">
        <f aca="false">Scenarios!E21</f>
        <v>2278.5</v>
      </c>
      <c r="F14" s="6" t="n">
        <f aca="false">Scenarios!F21</f>
        <v>9689</v>
      </c>
    </row>
    <row r="15" customFormat="false" ht="15" hidden="false" customHeight="false" outlineLevel="0" collapsed="false">
      <c r="A15" s="2" t="s">
        <v>22</v>
      </c>
      <c r="B15" s="2"/>
      <c r="C15" s="6" t="n">
        <f aca="false">Scenarios!C37</f>
        <v>43024</v>
      </c>
      <c r="D15" s="6" t="n">
        <f aca="false">Scenarios!D37</f>
        <v>158928</v>
      </c>
      <c r="E15" s="6" t="n">
        <f aca="false">Scenarios!E37</f>
        <v>874337.5</v>
      </c>
      <c r="F15" s="6" t="n">
        <f aca="false">Scenarios!F37</f>
        <v>4256910</v>
      </c>
    </row>
    <row r="16" customFormat="false" ht="15" hidden="false" customHeight="false" outlineLevel="0" collapsed="false">
      <c r="A16" s="2" t="s">
        <v>23</v>
      </c>
      <c r="B16" s="2"/>
      <c r="C16" s="7" t="n">
        <f aca="false">Scenarios!C33</f>
        <v>653.400549031</v>
      </c>
      <c r="D16" s="7" t="n">
        <f aca="false">Scenarios!D33</f>
        <v>2052.627340187</v>
      </c>
      <c r="E16" s="7" t="n">
        <f aca="false">Scenarios!E33</f>
        <v>7093.393115096</v>
      </c>
      <c r="F16" s="7" t="n">
        <f aca="false">Scenarios!F33</f>
        <v>20772.251805247</v>
      </c>
    </row>
    <row r="17" customFormat="false" ht="15" hidden="false" customHeight="false" outlineLevel="0" collapsed="false">
      <c r="A17" s="2" t="s">
        <v>24</v>
      </c>
      <c r="B17" s="2"/>
      <c r="C17" s="7" t="n">
        <f aca="false">Scenarios!C44</f>
        <v>4015.8732</v>
      </c>
      <c r="D17" s="7" t="n">
        <f aca="false">Scenarios!D44</f>
        <v>13203.3234</v>
      </c>
      <c r="E17" s="7" t="n">
        <f aca="false">Scenarios!E44</f>
        <v>60812.165</v>
      </c>
      <c r="F17" s="7" t="n">
        <f aca="false">Scenarios!F44</f>
        <v>275573.524</v>
      </c>
    </row>
    <row r="18" customFormat="false" ht="15" hidden="false" customHeight="false" outlineLevel="0" collapsed="false">
      <c r="A18" s="2" t="s">
        <v>25</v>
      </c>
      <c r="B18" s="2"/>
      <c r="C18" s="7" t="n">
        <f aca="false">Scenarios!C45</f>
        <v>3362.472650969</v>
      </c>
      <c r="D18" s="7" t="n">
        <f aca="false">Scenarios!D45</f>
        <v>11150.696059813</v>
      </c>
      <c r="E18" s="7" t="n">
        <f aca="false">Scenarios!E45</f>
        <v>53718.771884904</v>
      </c>
      <c r="F18" s="7" t="n">
        <f aca="false">Scenarios!F45</f>
        <v>254801.272194753</v>
      </c>
    </row>
    <row r="19" customFormat="false" ht="15" hidden="false" customHeight="false" outlineLevel="0" collapsed="false">
      <c r="A19" s="2" t="s">
        <v>26</v>
      </c>
      <c r="B19" s="2"/>
      <c r="C19" s="7" t="n">
        <f aca="false">Scenarios!C50</f>
        <v>362.472650969</v>
      </c>
      <c r="D19" s="7" t="n">
        <f aca="false">Scenarios!D50</f>
        <v>3150.696059813</v>
      </c>
      <c r="E19" s="7" t="n">
        <f aca="false">Scenarios!E50</f>
        <v>30218.771884904</v>
      </c>
      <c r="F19" s="7" t="n">
        <f aca="false">Scenarios!F50</f>
        <v>180301.272194753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</row>
    <row r="21" customFormat="false" ht="15" hidden="false" customHeight="false" outlineLevel="0" collapsed="false">
      <c r="A21" s="2" t="s">
        <v>27</v>
      </c>
      <c r="B21" s="2"/>
      <c r="C21" s="6" t="n">
        <f aca="false">'12-Month Plan'!D20</f>
        <v>4</v>
      </c>
      <c r="D21" s="2"/>
      <c r="E21" s="2"/>
      <c r="F21" s="2"/>
    </row>
    <row r="22" customFormat="false" ht="15" hidden="false" customHeight="false" outlineLevel="0" collapsed="false">
      <c r="A22" s="2" t="s">
        <v>28</v>
      </c>
      <c r="B22" s="2"/>
      <c r="C22" s="7" t="n">
        <f aca="false">'12-Month Plan'!D21</f>
        <v>-3021.813229031</v>
      </c>
      <c r="D22" s="2"/>
      <c r="E22" s="2"/>
      <c r="F22" s="2"/>
    </row>
    <row r="23" customFormat="false" ht="15" hidden="false" customHeight="false" outlineLevel="0" collapsed="false">
      <c r="A23" s="2" t="s">
        <v>29</v>
      </c>
      <c r="B23" s="2"/>
      <c r="C23" s="8" t="n">
        <f aca="false">'12-Month Plan'!D24</f>
        <v>4.49854663752885</v>
      </c>
      <c r="D23" s="2"/>
      <c r="E23" s="2"/>
      <c r="F2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6" min="3" style="0" width="16"/>
    <col collapsed="false" customWidth="true" hidden="false" outlineLevel="0" max="7" min="7" style="0" width="18"/>
    <col collapsed="false" customWidth="true" hidden="false" outlineLevel="0" max="8" min="8" style="0" width="50"/>
    <col collapsed="false" customWidth="true" hidden="false" outlineLevel="0" max="13" min="9" style="0" width="12"/>
  </cols>
  <sheetData>
    <row r="1" customFormat="false" ht="17.35" hidden="false" customHeight="false" outlineLevel="0" collapsed="false">
      <c r="A1" s="1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4" t="s">
        <v>32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A5" s="2" t="s">
        <v>33</v>
      </c>
      <c r="B5" s="9" t="n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5" hidden="false" customHeight="false" outlineLevel="0" collapsed="false">
      <c r="A6" s="2" t="s">
        <v>34</v>
      </c>
      <c r="B6" s="9" t="n">
        <v>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15" hidden="false" customHeight="false" outlineLevel="0" collapsed="false">
      <c r="A8" s="4" t="s">
        <v>35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15" hidden="false" customHeight="false" outlineLevel="0" collapsed="false">
      <c r="A9" s="5" t="s">
        <v>36</v>
      </c>
      <c r="B9" s="5" t="s">
        <v>37</v>
      </c>
      <c r="C9" s="5" t="s">
        <v>38</v>
      </c>
      <c r="D9" s="5" t="s">
        <v>39</v>
      </c>
      <c r="E9" s="2"/>
      <c r="F9" s="2"/>
      <c r="G9" s="2"/>
      <c r="H9" s="2"/>
      <c r="I9" s="2"/>
      <c r="J9" s="2"/>
      <c r="K9" s="2"/>
      <c r="L9" s="2"/>
      <c r="M9" s="2"/>
    </row>
    <row r="10" customFormat="false" ht="15" hidden="false" customHeight="false" outlineLevel="0" collapsed="false">
      <c r="A10" s="2" t="s">
        <v>40</v>
      </c>
      <c r="B10" s="10" t="n">
        <v>1000</v>
      </c>
      <c r="C10" s="2" t="s">
        <v>41</v>
      </c>
      <c r="D10" s="2" t="s">
        <v>42</v>
      </c>
      <c r="E10" s="2"/>
      <c r="F10" s="2"/>
      <c r="G10" s="2"/>
      <c r="H10" s="2"/>
      <c r="I10" s="2"/>
      <c r="J10" s="2"/>
      <c r="K10" s="2"/>
      <c r="L10" s="2"/>
      <c r="M10" s="2"/>
    </row>
    <row r="11" customFormat="false" ht="15" hidden="false" customHeight="false" outlineLevel="0" collapsed="false">
      <c r="A11" s="2" t="s">
        <v>43</v>
      </c>
      <c r="B11" s="11" t="n">
        <v>1</v>
      </c>
      <c r="C11" s="2" t="s">
        <v>44</v>
      </c>
      <c r="D11" s="2" t="s">
        <v>45</v>
      </c>
      <c r="E11" s="2"/>
      <c r="F11" s="2"/>
      <c r="G11" s="2"/>
      <c r="H11" s="2"/>
      <c r="I11" s="2"/>
      <c r="J11" s="2"/>
      <c r="K11" s="2"/>
      <c r="L11" s="2"/>
      <c r="M11" s="2"/>
    </row>
    <row r="12" customFormat="false" ht="15" hidden="false" customHeight="false" outlineLevel="0" collapsed="false">
      <c r="A12" s="2" t="s">
        <v>46</v>
      </c>
      <c r="B12" s="11" t="n">
        <v>21.7</v>
      </c>
      <c r="C12" s="2" t="s">
        <v>47</v>
      </c>
      <c r="D12" s="2" t="s">
        <v>48</v>
      </c>
      <c r="E12" s="2"/>
      <c r="F12" s="2"/>
      <c r="G12" s="2"/>
      <c r="H12" s="2"/>
      <c r="I12" s="2"/>
      <c r="J12" s="2"/>
      <c r="K12" s="2"/>
      <c r="L12" s="2"/>
      <c r="M12" s="2"/>
    </row>
    <row r="13" customFormat="false" ht="15" hidden="false" customHeight="false" outlineLevel="0" collapsed="false">
      <c r="A13" s="2" t="s">
        <v>49</v>
      </c>
      <c r="B13" s="11" t="n">
        <v>30.4</v>
      </c>
      <c r="C13" s="2" t="s">
        <v>47</v>
      </c>
      <c r="D13" s="2"/>
      <c r="E13" s="2"/>
      <c r="F13" s="2"/>
      <c r="G13" s="2"/>
      <c r="H13" s="2"/>
      <c r="I13" s="2"/>
      <c r="J13" s="2"/>
      <c r="K13" s="2"/>
      <c r="L13" s="2"/>
      <c r="M13" s="2"/>
    </row>
    <row r="14" customFormat="false" ht="15" hidden="false" customHeight="false" outlineLevel="0" collapsed="false">
      <c r="A14" s="2" t="s">
        <v>50</v>
      </c>
      <c r="B14" s="12" t="n">
        <v>0.15</v>
      </c>
      <c r="C14" s="2" t="s">
        <v>51</v>
      </c>
      <c r="D14" s="2" t="s">
        <v>52</v>
      </c>
      <c r="E14" s="2"/>
      <c r="F14" s="2"/>
      <c r="G14" s="2"/>
      <c r="H14" s="2"/>
      <c r="I14" s="2"/>
      <c r="J14" s="2"/>
      <c r="K14" s="2"/>
      <c r="L14" s="2"/>
      <c r="M14" s="2"/>
    </row>
    <row r="15" customFormat="false" ht="15" hidden="false" customHeight="false" outlineLevel="0" collapsed="false">
      <c r="A15" s="2" t="s">
        <v>53</v>
      </c>
      <c r="B15" s="12" t="n">
        <v>0.3</v>
      </c>
      <c r="C15" s="2" t="s">
        <v>51</v>
      </c>
      <c r="D15" s="2" t="s">
        <v>54</v>
      </c>
      <c r="E15" s="2"/>
      <c r="F15" s="2"/>
      <c r="G15" s="2"/>
      <c r="H15" s="2"/>
      <c r="I15" s="2"/>
      <c r="J15" s="2"/>
      <c r="K15" s="2"/>
      <c r="L15" s="2"/>
      <c r="M15" s="2"/>
    </row>
    <row r="16" customFormat="false" ht="15" hidden="false" customHeight="false" outlineLevel="0" collapsed="false">
      <c r="A16" s="2" t="s">
        <v>55</v>
      </c>
      <c r="B16" s="11" t="n">
        <v>0.6</v>
      </c>
      <c r="C16" s="2" t="s">
        <v>56</v>
      </c>
      <c r="D16" s="2" t="s">
        <v>57</v>
      </c>
      <c r="E16" s="2"/>
      <c r="F16" s="2"/>
      <c r="G16" s="2"/>
      <c r="H16" s="2"/>
      <c r="I16" s="2"/>
      <c r="J16" s="2"/>
      <c r="K16" s="2"/>
      <c r="L16" s="2"/>
      <c r="M16" s="2"/>
    </row>
    <row r="17" customFormat="false" ht="15" hidden="false" customHeight="false" outlineLevel="0" collapsed="false">
      <c r="A17" s="2" t="s">
        <v>58</v>
      </c>
      <c r="B17" s="12" t="n">
        <v>0.5</v>
      </c>
      <c r="C17" s="2" t="s">
        <v>51</v>
      </c>
      <c r="D17" s="2" t="s">
        <v>59</v>
      </c>
      <c r="E17" s="2"/>
      <c r="F17" s="2"/>
      <c r="G17" s="2"/>
      <c r="H17" s="2"/>
      <c r="I17" s="2"/>
      <c r="J17" s="2"/>
      <c r="K17" s="2"/>
      <c r="L17" s="2"/>
      <c r="M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customFormat="false" ht="15" hidden="false" customHeight="false" outlineLevel="0" collapsed="false">
      <c r="A19" s="4" t="s">
        <v>60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customFormat="false" ht="15" hidden="false" customHeight="false" outlineLevel="0" collapsed="false">
      <c r="A20" s="5" t="s">
        <v>61</v>
      </c>
      <c r="B20" s="5" t="s">
        <v>62</v>
      </c>
      <c r="C20" s="5" t="s">
        <v>63</v>
      </c>
      <c r="D20" s="5" t="s">
        <v>39</v>
      </c>
      <c r="E20" s="2"/>
      <c r="F20" s="2"/>
      <c r="G20" s="2"/>
      <c r="H20" s="2"/>
      <c r="I20" s="2"/>
      <c r="J20" s="2"/>
      <c r="K20" s="2"/>
      <c r="L20" s="2"/>
      <c r="M20" s="2"/>
    </row>
    <row r="21" customFormat="false" ht="15" hidden="false" customHeight="false" outlineLevel="0" collapsed="false">
      <c r="A21" s="2" t="s">
        <v>64</v>
      </c>
      <c r="B21" s="13" t="n">
        <v>4</v>
      </c>
      <c r="C21" s="13" t="n">
        <v>20</v>
      </c>
      <c r="D21" s="2" t="s">
        <v>65</v>
      </c>
      <c r="E21" s="2"/>
      <c r="F21" s="2"/>
      <c r="G21" s="2"/>
      <c r="H21" s="2"/>
      <c r="I21" s="2"/>
      <c r="J21" s="2"/>
      <c r="K21" s="2"/>
      <c r="L21" s="2"/>
      <c r="M21" s="2"/>
    </row>
    <row r="22" customFormat="false" ht="15" hidden="false" customHeight="false" outlineLevel="0" collapsed="false">
      <c r="A22" s="2" t="s">
        <v>66</v>
      </c>
      <c r="B22" s="13" t="n">
        <v>2</v>
      </c>
      <c r="C22" s="13" t="n">
        <v>10</v>
      </c>
      <c r="D22" s="2" t="s">
        <v>65</v>
      </c>
      <c r="E22" s="2"/>
      <c r="F22" s="2"/>
      <c r="G22" s="2"/>
      <c r="H22" s="2"/>
      <c r="I22" s="2"/>
      <c r="J22" s="2"/>
      <c r="K22" s="2"/>
      <c r="L22" s="2"/>
      <c r="M22" s="2"/>
    </row>
    <row r="23" customFormat="false" ht="15" hidden="false" customHeight="false" outlineLevel="0" collapsed="false">
      <c r="A23" s="2" t="s">
        <v>67</v>
      </c>
      <c r="B23" s="13" t="n">
        <v>0.1</v>
      </c>
      <c r="C23" s="13" t="n">
        <v>0.5</v>
      </c>
      <c r="D23" s="2" t="s">
        <v>65</v>
      </c>
      <c r="E23" s="2"/>
      <c r="F23" s="2"/>
      <c r="G23" s="2"/>
      <c r="H23" s="2"/>
      <c r="I23" s="2"/>
      <c r="J23" s="2"/>
      <c r="K23" s="2"/>
      <c r="L23" s="2"/>
      <c r="M23" s="2"/>
    </row>
    <row r="24" customFormat="false" ht="15" hidden="false" customHeight="false" outlineLevel="0" collapsed="false">
      <c r="A24" s="2" t="s">
        <v>68</v>
      </c>
      <c r="B24" s="13" t="n">
        <v>10</v>
      </c>
      <c r="C24" s="2"/>
      <c r="D24" s="2" t="s">
        <v>69</v>
      </c>
      <c r="E24" s="2"/>
      <c r="F24" s="2"/>
      <c r="G24" s="2"/>
      <c r="H24" s="2"/>
      <c r="I24" s="2"/>
      <c r="J24" s="2"/>
      <c r="K24" s="2"/>
      <c r="L24" s="2"/>
      <c r="M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customFormat="false" ht="15" hidden="false" customHeight="false" outlineLevel="0" collapsed="false">
      <c r="A26" s="4" t="s">
        <v>70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15" hidden="false" customHeight="false" outlineLevel="0" collapsed="false">
      <c r="A27" s="5" t="s">
        <v>71</v>
      </c>
      <c r="B27" s="5" t="s">
        <v>61</v>
      </c>
      <c r="C27" s="5" t="s">
        <v>72</v>
      </c>
      <c r="D27" s="5" t="s">
        <v>73</v>
      </c>
      <c r="E27" s="5" t="s">
        <v>74</v>
      </c>
      <c r="F27" s="5" t="s">
        <v>75</v>
      </c>
      <c r="G27" s="2"/>
      <c r="H27" s="2"/>
      <c r="I27" s="2"/>
      <c r="J27" s="2"/>
      <c r="K27" s="2"/>
      <c r="L27" s="2"/>
      <c r="M27" s="2"/>
    </row>
    <row r="28" customFormat="false" ht="15" hidden="false" customHeight="false" outlineLevel="0" collapsed="false">
      <c r="A28" s="2" t="s">
        <v>76</v>
      </c>
      <c r="B28" s="14" t="s">
        <v>67</v>
      </c>
      <c r="C28" s="10" t="n">
        <v>60000</v>
      </c>
      <c r="D28" s="10" t="n">
        <v>4000</v>
      </c>
      <c r="E28" s="10" t="n">
        <v>0</v>
      </c>
      <c r="F28" s="15" t="n">
        <f aca="false">C28/1000000*IF(B28="opus",Assumptions!$B$21,IF(B28="sonnet",Assumptions!$B$22,Assumptions!$B$23))+D28/1000000*IF(B28="opus",Assumptions!$C$21,IF(B28="sonnet",Assumptions!$C$22,Assumptions!$C$23))+E28/1000*Assumptions!$B$24</f>
        <v>0.008</v>
      </c>
      <c r="G28" s="2"/>
      <c r="H28" s="2"/>
      <c r="I28" s="2"/>
      <c r="J28" s="2"/>
      <c r="K28" s="2"/>
      <c r="L28" s="2"/>
      <c r="M28" s="2"/>
    </row>
    <row r="29" customFormat="false" ht="15" hidden="false" customHeight="false" outlineLevel="0" collapsed="false">
      <c r="A29" s="2" t="s">
        <v>77</v>
      </c>
      <c r="B29" s="14" t="s">
        <v>64</v>
      </c>
      <c r="C29" s="10" t="n">
        <v>40000</v>
      </c>
      <c r="D29" s="10" t="n">
        <v>10000</v>
      </c>
      <c r="E29" s="10" t="n">
        <v>0</v>
      </c>
      <c r="F29" s="15" t="n">
        <f aca="false">C29/1000000*IF(B29="opus",Assumptions!$B$21,IF(B29="sonnet",Assumptions!$B$22,Assumptions!$B$23))+D29/1000000*IF(B29="opus",Assumptions!$C$21,IF(B29="sonnet",Assumptions!$C$22,Assumptions!$C$23))+E29/1000*Assumptions!$B$24</f>
        <v>0.36</v>
      </c>
      <c r="G29" s="2"/>
      <c r="H29" s="2"/>
      <c r="I29" s="2"/>
      <c r="J29" s="2"/>
      <c r="K29" s="2"/>
      <c r="L29" s="2"/>
      <c r="M29" s="2"/>
    </row>
    <row r="30" customFormat="false" ht="15" hidden="false" customHeight="false" outlineLevel="0" collapsed="false">
      <c r="A30" s="2" t="s">
        <v>78</v>
      </c>
      <c r="B30" s="14" t="s">
        <v>64</v>
      </c>
      <c r="C30" s="10" t="n">
        <v>8000</v>
      </c>
      <c r="D30" s="10" t="n">
        <v>4000</v>
      </c>
      <c r="E30" s="10" t="n">
        <v>0</v>
      </c>
      <c r="F30" s="15" t="n">
        <f aca="false">C30/1000000*IF(B30="opus",Assumptions!$B$21,IF(B30="sonnet",Assumptions!$B$22,Assumptions!$B$23))+D30/1000000*IF(B30="opus",Assumptions!$C$21,IF(B30="sonnet",Assumptions!$C$22,Assumptions!$C$23))+E30/1000*Assumptions!$B$24</f>
        <v>0.112</v>
      </c>
      <c r="G30" s="2"/>
      <c r="H30" s="2"/>
      <c r="I30" s="2"/>
      <c r="J30" s="2"/>
      <c r="K30" s="2"/>
      <c r="L30" s="2"/>
      <c r="M30" s="2"/>
    </row>
    <row r="31" customFormat="false" ht="15" hidden="false" customHeight="false" outlineLevel="0" collapsed="false">
      <c r="A31" s="2" t="s">
        <v>79</v>
      </c>
      <c r="B31" s="14" t="s">
        <v>64</v>
      </c>
      <c r="C31" s="10" t="n">
        <v>150000</v>
      </c>
      <c r="D31" s="10" t="n">
        <v>12000</v>
      </c>
      <c r="E31" s="10" t="n">
        <v>20</v>
      </c>
      <c r="F31" s="15" t="n">
        <f aca="false">C31/1000000*IF(B31="opus",Assumptions!$B$21,IF(B31="sonnet",Assumptions!$B$22,Assumptions!$B$23))+D31/1000000*IF(B31="opus",Assumptions!$C$21,IF(B31="sonnet",Assumptions!$C$22,Assumptions!$C$23))+E31/1000*Assumptions!$B$24</f>
        <v>1.04</v>
      </c>
      <c r="G31" s="2"/>
      <c r="H31" s="2"/>
      <c r="I31" s="2"/>
      <c r="J31" s="2"/>
      <c r="K31" s="2"/>
      <c r="L31" s="2"/>
      <c r="M31" s="2"/>
    </row>
    <row r="32" customFormat="false" ht="15" hidden="false" customHeight="false" outlineLevel="0" collapsed="false">
      <c r="A32" s="2" t="s">
        <v>80</v>
      </c>
      <c r="B32" s="14" t="s">
        <v>64</v>
      </c>
      <c r="C32" s="10" t="n">
        <v>40000</v>
      </c>
      <c r="D32" s="10" t="n">
        <v>6000</v>
      </c>
      <c r="E32" s="10" t="n">
        <v>0</v>
      </c>
      <c r="F32" s="15" t="n">
        <f aca="false">C32/1000000*IF(B32="opus",Assumptions!$B$21,IF(B32="sonnet",Assumptions!$B$22,Assumptions!$B$23))+D32/1000000*IF(B32="opus",Assumptions!$C$21,IF(B32="sonnet",Assumptions!$C$22,Assumptions!$C$23))+E32/1000*Assumptions!$B$24</f>
        <v>0.28</v>
      </c>
      <c r="G32" s="2"/>
      <c r="H32" s="2"/>
      <c r="I32" s="2"/>
      <c r="J32" s="2"/>
      <c r="K32" s="2"/>
      <c r="L32" s="2"/>
      <c r="M32" s="2"/>
    </row>
    <row r="33" customFormat="false" ht="15" hidden="false" customHeight="false" outlineLevel="0" collapsed="false">
      <c r="A33" s="2" t="s">
        <v>81</v>
      </c>
      <c r="B33" s="14" t="s">
        <v>66</v>
      </c>
      <c r="C33" s="10" t="n">
        <v>10000</v>
      </c>
      <c r="D33" s="10" t="n">
        <v>3000</v>
      </c>
      <c r="E33" s="10" t="n">
        <v>0</v>
      </c>
      <c r="F33" s="15" t="n">
        <f aca="false">C33/1000000*IF(B33="opus",Assumptions!$B$21,IF(B33="sonnet",Assumptions!$B$22,Assumptions!$B$23))+D33/1000000*IF(B33="opus",Assumptions!$C$21,IF(B33="sonnet",Assumptions!$C$22,Assumptions!$C$23))+E33/1000*Assumptions!$B$24</f>
        <v>0.05</v>
      </c>
      <c r="G33" s="2"/>
      <c r="H33" s="2"/>
      <c r="I33" s="2"/>
      <c r="J33" s="2"/>
      <c r="K33" s="2"/>
      <c r="L33" s="2"/>
      <c r="M33" s="2"/>
    </row>
    <row r="34" customFormat="false" ht="15" hidden="false" customHeight="false" outlineLevel="0" collapsed="false">
      <c r="A34" s="2" t="s">
        <v>82</v>
      </c>
      <c r="B34" s="14" t="s">
        <v>64</v>
      </c>
      <c r="C34" s="10" t="n">
        <v>10000</v>
      </c>
      <c r="D34" s="10" t="n">
        <v>3000</v>
      </c>
      <c r="E34" s="10" t="n">
        <v>0</v>
      </c>
      <c r="F34" s="15" t="n">
        <f aca="false">C34/1000000*IF(B34="opus",Assumptions!$B$21,IF(B34="sonnet",Assumptions!$B$22,Assumptions!$B$23))+D34/1000000*IF(B34="opus",Assumptions!$C$21,IF(B34="sonnet",Assumptions!$C$22,Assumptions!$C$23))+E34/1000*Assumptions!$B$24</f>
        <v>0.1</v>
      </c>
      <c r="G34" s="2"/>
      <c r="H34" s="2"/>
      <c r="I34" s="2"/>
      <c r="J34" s="2"/>
      <c r="K34" s="2"/>
      <c r="L34" s="2"/>
      <c r="M34" s="2"/>
    </row>
    <row r="35" customFormat="false" ht="15" hidden="false" customHeight="false" outlineLevel="0" collapsed="false">
      <c r="A35" s="2" t="s">
        <v>83</v>
      </c>
      <c r="B35" s="14" t="s">
        <v>66</v>
      </c>
      <c r="C35" s="10" t="n">
        <v>8000</v>
      </c>
      <c r="D35" s="10" t="n">
        <v>3000</v>
      </c>
      <c r="E35" s="10" t="n">
        <v>0</v>
      </c>
      <c r="F35" s="15" t="n">
        <f aca="false">C35/1000000*IF(B35="opus",Assumptions!$B$21,IF(B35="sonnet",Assumptions!$B$22,Assumptions!$B$23))+D35/1000000*IF(B35="opus",Assumptions!$C$21,IF(B35="sonnet",Assumptions!$C$22,Assumptions!$C$23))+E35/1000*Assumptions!$B$24</f>
        <v>0.046</v>
      </c>
      <c r="G35" s="2"/>
      <c r="H35" s="2"/>
      <c r="I35" s="2"/>
      <c r="J35" s="2"/>
      <c r="K35" s="2"/>
      <c r="L35" s="2"/>
      <c r="M35" s="2"/>
    </row>
    <row r="36" customFormat="false" ht="15" hidden="false" customHeight="false" outlineLevel="0" collapsed="false">
      <c r="A36" s="2" t="s">
        <v>84</v>
      </c>
      <c r="B36" s="14" t="s">
        <v>67</v>
      </c>
      <c r="C36" s="10" t="n">
        <v>6000</v>
      </c>
      <c r="D36" s="10" t="n">
        <v>1500</v>
      </c>
      <c r="E36" s="10" t="n">
        <v>0</v>
      </c>
      <c r="F36" s="15" t="n">
        <f aca="false">C36/1000000*IF(B36="opus",Assumptions!$B$21,IF(B36="sonnet",Assumptions!$B$22,Assumptions!$B$23))+D36/1000000*IF(B36="opus",Assumptions!$C$21,IF(B36="sonnet",Assumptions!$C$22,Assumptions!$C$23))+E36/1000*Assumptions!$B$24</f>
        <v>0.00135</v>
      </c>
      <c r="G36" s="2"/>
      <c r="H36" s="2"/>
      <c r="I36" s="2"/>
      <c r="J36" s="2"/>
      <c r="K36" s="2"/>
      <c r="L36" s="2"/>
      <c r="M36" s="2"/>
    </row>
    <row r="37" customFormat="false" ht="15" hidden="false" customHeight="false" outlineLevel="0" collapsed="false">
      <c r="A37" s="4" t="s">
        <v>85</v>
      </c>
      <c r="B37" s="2"/>
      <c r="C37" s="2"/>
      <c r="D37" s="2"/>
      <c r="E37" s="2"/>
      <c r="F37" s="16" t="n">
        <f aca="false">SUM(F28:F36)</f>
        <v>1.99735</v>
      </c>
      <c r="G37" s="2"/>
      <c r="H37" s="2"/>
      <c r="I37" s="2"/>
      <c r="J37" s="2"/>
      <c r="K37" s="2"/>
      <c r="L37" s="2"/>
      <c r="M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customFormat="false" ht="15" hidden="false" customHeight="false" outlineLevel="0" collapsed="false">
      <c r="A39" s="4" t="s">
        <v>86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customFormat="false" ht="39.55" hidden="false" customHeight="false" outlineLevel="0" collapsed="false">
      <c r="A40" s="5" t="s">
        <v>87</v>
      </c>
      <c r="B40" s="5" t="s">
        <v>88</v>
      </c>
      <c r="C40" s="5" t="s">
        <v>89</v>
      </c>
      <c r="D40" s="5" t="s">
        <v>90</v>
      </c>
      <c r="E40" s="5" t="s">
        <v>91</v>
      </c>
      <c r="F40" s="5" t="s">
        <v>92</v>
      </c>
      <c r="G40" s="5" t="s">
        <v>93</v>
      </c>
      <c r="H40" s="2"/>
      <c r="I40" s="2"/>
      <c r="J40" s="2"/>
      <c r="K40" s="2"/>
      <c r="L40" s="2"/>
      <c r="M40" s="2"/>
    </row>
    <row r="41" customFormat="false" ht="15" hidden="false" customHeight="false" outlineLevel="0" collapsed="false">
      <c r="A41" s="2" t="s">
        <v>94</v>
      </c>
      <c r="B41" s="10" t="n">
        <v>7</v>
      </c>
      <c r="C41" s="17" t="n">
        <v>21.7</v>
      </c>
      <c r="D41" s="18" t="n">
        <v>1</v>
      </c>
      <c r="E41" s="10" t="n">
        <v>0</v>
      </c>
      <c r="F41" s="10" t="n">
        <v>2</v>
      </c>
      <c r="G41" s="10" t="n">
        <v>150</v>
      </c>
      <c r="H41" s="2" t="s">
        <v>95</v>
      </c>
      <c r="I41" s="2"/>
      <c r="J41" s="2"/>
      <c r="K41" s="2"/>
      <c r="L41" s="2"/>
      <c r="M41" s="2"/>
    </row>
    <row r="42" customFormat="false" ht="15" hidden="false" customHeight="false" outlineLevel="0" collapsed="false">
      <c r="A42" s="2" t="s">
        <v>96</v>
      </c>
      <c r="B42" s="10" t="n">
        <v>3</v>
      </c>
      <c r="C42" s="17" t="n">
        <v>30</v>
      </c>
      <c r="D42" s="18" t="n">
        <v>0.8</v>
      </c>
      <c r="E42" s="10" t="n">
        <v>0</v>
      </c>
      <c r="F42" s="10" t="n">
        <v>1</v>
      </c>
      <c r="G42" s="10" t="n">
        <v>600</v>
      </c>
      <c r="H42" s="2" t="s">
        <v>95</v>
      </c>
      <c r="I42" s="2"/>
      <c r="J42" s="2"/>
      <c r="K42" s="2"/>
      <c r="L42" s="2"/>
      <c r="M42" s="2"/>
    </row>
    <row r="43" customFormat="false" ht="15" hidden="false" customHeight="false" outlineLevel="0" collapsed="false">
      <c r="A43" s="2" t="s">
        <v>97</v>
      </c>
      <c r="B43" s="10" t="n">
        <v>10</v>
      </c>
      <c r="C43" s="17" t="n">
        <v>21.7</v>
      </c>
      <c r="D43" s="18" t="n">
        <v>1.3</v>
      </c>
      <c r="E43" s="10" t="n">
        <v>0</v>
      </c>
      <c r="F43" s="10" t="n">
        <v>2</v>
      </c>
      <c r="G43" s="10" t="n">
        <v>120</v>
      </c>
      <c r="H43" s="2" t="s">
        <v>95</v>
      </c>
      <c r="I43" s="2"/>
      <c r="J43" s="2"/>
      <c r="K43" s="2"/>
      <c r="L43" s="2"/>
      <c r="M43" s="2"/>
    </row>
    <row r="44" customFormat="false" ht="15" hidden="false" customHeight="false" outlineLevel="0" collapsed="false">
      <c r="A44" s="2" t="s">
        <v>98</v>
      </c>
      <c r="B44" s="10" t="n">
        <v>20</v>
      </c>
      <c r="C44" s="17" t="n">
        <v>8.3</v>
      </c>
      <c r="D44" s="18" t="n">
        <v>1.8</v>
      </c>
      <c r="E44" s="10" t="n">
        <v>0</v>
      </c>
      <c r="F44" s="10" t="n">
        <v>3</v>
      </c>
      <c r="G44" s="10" t="n">
        <v>400</v>
      </c>
      <c r="H44" s="2" t="s">
        <v>95</v>
      </c>
      <c r="I44" s="2"/>
      <c r="J44" s="2"/>
      <c r="K44" s="2"/>
      <c r="L44" s="2"/>
      <c r="M44" s="2"/>
    </row>
    <row r="45" customFormat="false" ht="15" hidden="false" customHeight="false" outlineLevel="0" collapsed="false">
      <c r="A45" s="2" t="s">
        <v>99</v>
      </c>
      <c r="B45" s="10" t="n">
        <v>22</v>
      </c>
      <c r="C45" s="17" t="n">
        <v>8.7</v>
      </c>
      <c r="D45" s="18" t="n">
        <v>2.2</v>
      </c>
      <c r="E45" s="10" t="n">
        <v>1</v>
      </c>
      <c r="F45" s="10" t="n">
        <v>3</v>
      </c>
      <c r="G45" s="10" t="n">
        <v>700</v>
      </c>
      <c r="H45" s="2" t="s">
        <v>95</v>
      </c>
      <c r="I45" s="2"/>
      <c r="J45" s="2"/>
      <c r="K45" s="2"/>
      <c r="L45" s="2"/>
      <c r="M45" s="2"/>
    </row>
    <row r="46" customFormat="false" ht="15" hidden="false" customHeight="false" outlineLevel="0" collapsed="false">
      <c r="A46" s="2" t="s">
        <v>100</v>
      </c>
      <c r="B46" s="10" t="n">
        <v>18</v>
      </c>
      <c r="C46" s="17" t="n">
        <v>13</v>
      </c>
      <c r="D46" s="18" t="n">
        <v>1.8</v>
      </c>
      <c r="E46" s="10" t="n">
        <v>1</v>
      </c>
      <c r="F46" s="10" t="n">
        <v>3</v>
      </c>
      <c r="G46" s="10" t="n">
        <v>500</v>
      </c>
      <c r="H46" s="2" t="s">
        <v>95</v>
      </c>
      <c r="I46" s="2"/>
      <c r="J46" s="2"/>
      <c r="K46" s="2"/>
      <c r="L46" s="2"/>
      <c r="M46" s="2"/>
    </row>
    <row r="47" customFormat="false" ht="15" hidden="false" customHeight="false" outlineLevel="0" collapsed="false">
      <c r="A47" s="2" t="s">
        <v>101</v>
      </c>
      <c r="B47" s="10" t="n">
        <v>5</v>
      </c>
      <c r="C47" s="17" t="n">
        <v>12</v>
      </c>
      <c r="D47" s="18" t="n">
        <v>0.6</v>
      </c>
      <c r="E47" s="10" t="n">
        <v>0</v>
      </c>
      <c r="F47" s="10" t="n">
        <v>1</v>
      </c>
      <c r="G47" s="10" t="n">
        <v>60</v>
      </c>
      <c r="H47" s="2" t="s">
        <v>95</v>
      </c>
      <c r="I47" s="2"/>
      <c r="J47" s="2"/>
      <c r="K47" s="2"/>
      <c r="L47" s="2"/>
      <c r="M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customFormat="false" ht="15" hidden="false" customHeight="false" outlineLevel="0" collapsed="false">
      <c r="A49" s="4" t="s">
        <v>102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customFormat="false" ht="15" hidden="false" customHeight="false" outlineLevel="0" collapsed="false">
      <c r="A50" s="5" t="s">
        <v>87</v>
      </c>
      <c r="B50" s="5" t="s">
        <v>16</v>
      </c>
      <c r="C50" s="5" t="s">
        <v>17</v>
      </c>
      <c r="D50" s="5" t="s">
        <v>18</v>
      </c>
      <c r="E50" s="5" t="s">
        <v>19</v>
      </c>
      <c r="F50" s="2"/>
      <c r="G50" s="2"/>
      <c r="H50" s="2"/>
      <c r="I50" s="2"/>
      <c r="J50" s="2"/>
      <c r="K50" s="2"/>
      <c r="L50" s="2"/>
      <c r="M50" s="2"/>
    </row>
    <row r="51" customFormat="false" ht="15" hidden="false" customHeight="false" outlineLevel="0" collapsed="false">
      <c r="A51" s="2" t="s">
        <v>94</v>
      </c>
      <c r="B51" s="19" t="n">
        <v>2</v>
      </c>
      <c r="C51" s="19" t="n">
        <v>6</v>
      </c>
      <c r="D51" s="19" t="n">
        <v>25</v>
      </c>
      <c r="E51" s="19" t="n">
        <v>100</v>
      </c>
      <c r="F51" s="2"/>
      <c r="G51" s="2"/>
      <c r="H51" s="2"/>
      <c r="I51" s="2"/>
      <c r="J51" s="2"/>
      <c r="K51" s="2"/>
      <c r="L51" s="2"/>
      <c r="M51" s="2"/>
    </row>
    <row r="52" customFormat="false" ht="15" hidden="false" customHeight="false" outlineLevel="0" collapsed="false">
      <c r="A52" s="2" t="s">
        <v>96</v>
      </c>
      <c r="B52" s="19" t="n">
        <v>1</v>
      </c>
      <c r="C52" s="19" t="n">
        <v>2</v>
      </c>
      <c r="D52" s="19" t="n">
        <v>3</v>
      </c>
      <c r="E52" s="19" t="n">
        <v>5</v>
      </c>
      <c r="F52" s="2"/>
      <c r="G52" s="2"/>
      <c r="H52" s="2"/>
      <c r="I52" s="2"/>
      <c r="J52" s="2"/>
      <c r="K52" s="2"/>
      <c r="L52" s="2"/>
      <c r="M52" s="2"/>
    </row>
    <row r="53" customFormat="false" ht="15" hidden="false" customHeight="false" outlineLevel="0" collapsed="false">
      <c r="A53" s="2" t="s">
        <v>97</v>
      </c>
      <c r="B53" s="19" t="n">
        <v>1</v>
      </c>
      <c r="C53" s="19" t="n">
        <v>3</v>
      </c>
      <c r="D53" s="19" t="n">
        <v>10</v>
      </c>
      <c r="E53" s="19" t="n">
        <v>30</v>
      </c>
      <c r="F53" s="2"/>
      <c r="G53" s="2"/>
      <c r="H53" s="2"/>
      <c r="I53" s="2"/>
      <c r="J53" s="2"/>
      <c r="K53" s="2"/>
      <c r="L53" s="2"/>
      <c r="M53" s="2"/>
    </row>
    <row r="54" customFormat="false" ht="15" hidden="false" customHeight="false" outlineLevel="0" collapsed="false">
      <c r="A54" s="2" t="s">
        <v>98</v>
      </c>
      <c r="B54" s="19" t="n">
        <v>1</v>
      </c>
      <c r="C54" s="19" t="n">
        <v>1</v>
      </c>
      <c r="D54" s="19" t="n">
        <v>2</v>
      </c>
      <c r="E54" s="19" t="n">
        <v>4</v>
      </c>
      <c r="F54" s="2"/>
      <c r="G54" s="2"/>
      <c r="H54" s="2"/>
      <c r="I54" s="2"/>
      <c r="J54" s="2"/>
      <c r="K54" s="2"/>
      <c r="L54" s="2"/>
      <c r="M54" s="2"/>
    </row>
    <row r="55" customFormat="false" ht="15" hidden="false" customHeight="false" outlineLevel="0" collapsed="false">
      <c r="A55" s="2" t="s">
        <v>99</v>
      </c>
      <c r="B55" s="19" t="n">
        <v>1</v>
      </c>
      <c r="C55" s="19" t="n">
        <v>1</v>
      </c>
      <c r="D55" s="19" t="n">
        <v>2</v>
      </c>
      <c r="E55" s="19" t="n">
        <v>4</v>
      </c>
      <c r="F55" s="2"/>
      <c r="G55" s="2"/>
      <c r="H55" s="2"/>
      <c r="I55" s="2"/>
      <c r="J55" s="2"/>
      <c r="K55" s="2"/>
      <c r="L55" s="2"/>
      <c r="M55" s="2"/>
    </row>
    <row r="56" customFormat="false" ht="15" hidden="false" customHeight="false" outlineLevel="0" collapsed="false">
      <c r="A56" s="2" t="s">
        <v>100</v>
      </c>
      <c r="B56" s="19" t="n">
        <v>1</v>
      </c>
      <c r="C56" s="19" t="n">
        <v>4</v>
      </c>
      <c r="D56" s="19" t="n">
        <v>15</v>
      </c>
      <c r="E56" s="19" t="n">
        <v>50</v>
      </c>
      <c r="F56" s="2"/>
      <c r="G56" s="2"/>
      <c r="H56" s="2"/>
      <c r="I56" s="2"/>
      <c r="J56" s="2"/>
      <c r="K56" s="2"/>
      <c r="L56" s="2"/>
      <c r="M56" s="2"/>
    </row>
    <row r="57" customFormat="false" ht="15" hidden="false" customHeight="false" outlineLevel="0" collapsed="false">
      <c r="A57" s="2" t="s">
        <v>101</v>
      </c>
      <c r="B57" s="19" t="n">
        <v>0</v>
      </c>
      <c r="C57" s="19" t="n">
        <v>10</v>
      </c>
      <c r="D57" s="19" t="n">
        <v>100</v>
      </c>
      <c r="E57" s="19" t="n">
        <v>500</v>
      </c>
      <c r="F57" s="2"/>
      <c r="G57" s="2"/>
      <c r="H57" s="2"/>
      <c r="I57" s="2"/>
      <c r="J57" s="2"/>
      <c r="K57" s="2"/>
      <c r="L57" s="2"/>
      <c r="M57" s="2"/>
    </row>
    <row r="58" customFormat="false" ht="15" hidden="false" customHeight="false" outlineLevel="0" collapsed="false">
      <c r="A58" s="2" t="s">
        <v>103</v>
      </c>
      <c r="B58" s="18" t="n">
        <v>1</v>
      </c>
      <c r="C58" s="18" t="n">
        <v>1.5</v>
      </c>
      <c r="D58" s="18" t="n">
        <v>2.5</v>
      </c>
      <c r="E58" s="18" t="n">
        <v>3.5</v>
      </c>
      <c r="F58" s="2"/>
      <c r="G58" s="2"/>
      <c r="H58" s="2"/>
      <c r="I58" s="2"/>
      <c r="J58" s="2"/>
      <c r="K58" s="2"/>
      <c r="L58" s="2"/>
      <c r="M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customFormat="false" ht="15" hidden="false" customHeight="false" outlineLevel="0" collapsed="false">
      <c r="A60" s="4" t="s">
        <v>104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customFormat="false" ht="15" hidden="false" customHeight="false" outlineLevel="0" collapsed="false">
      <c r="A61" s="5" t="s">
        <v>105</v>
      </c>
      <c r="B61" s="5" t="s">
        <v>106</v>
      </c>
      <c r="C61" s="5" t="s">
        <v>107</v>
      </c>
      <c r="D61" s="5" t="s">
        <v>108</v>
      </c>
      <c r="E61" s="5" t="s">
        <v>39</v>
      </c>
      <c r="F61" s="2"/>
      <c r="G61" s="2"/>
      <c r="H61" s="2"/>
      <c r="I61" s="2"/>
      <c r="J61" s="2"/>
      <c r="K61" s="2"/>
      <c r="L61" s="2"/>
      <c r="M61" s="2"/>
    </row>
    <row r="62" customFormat="false" ht="15" hidden="false" customHeight="false" outlineLevel="0" collapsed="false">
      <c r="A62" s="2" t="s">
        <v>109</v>
      </c>
      <c r="B62" s="20" t="n">
        <v>22</v>
      </c>
      <c r="C62" s="10" t="n">
        <v>121000</v>
      </c>
      <c r="D62" s="15" t="n">
        <f aca="false">IF(C62=0,0,B62/C62*1000)</f>
        <v>0.181818181818182</v>
      </c>
      <c r="E62" s="2" t="s">
        <v>110</v>
      </c>
      <c r="F62" s="2"/>
      <c r="G62" s="2"/>
      <c r="H62" s="2"/>
      <c r="I62" s="2"/>
      <c r="J62" s="2"/>
      <c r="K62" s="2"/>
      <c r="L62" s="2"/>
      <c r="M62" s="2"/>
    </row>
    <row r="63" customFormat="false" ht="15" hidden="false" customHeight="false" outlineLevel="0" collapsed="false">
      <c r="A63" s="2" t="s">
        <v>111</v>
      </c>
      <c r="B63" s="20" t="n">
        <v>99</v>
      </c>
      <c r="C63" s="10" t="n">
        <v>600000</v>
      </c>
      <c r="D63" s="15" t="n">
        <f aca="false">IF(C63=0,0,B63/C63*1000)</f>
        <v>0.165</v>
      </c>
      <c r="E63" s="2" t="s">
        <v>110</v>
      </c>
      <c r="F63" s="2"/>
      <c r="G63" s="2"/>
      <c r="H63" s="2"/>
      <c r="I63" s="2"/>
      <c r="J63" s="2"/>
      <c r="K63" s="2"/>
      <c r="L63" s="2"/>
      <c r="M63" s="2"/>
    </row>
    <row r="64" customFormat="false" ht="15" hidden="false" customHeight="false" outlineLevel="0" collapsed="false">
      <c r="A64" s="2" t="s">
        <v>18</v>
      </c>
      <c r="B64" s="20" t="n">
        <v>299</v>
      </c>
      <c r="C64" s="10" t="n">
        <v>1800000</v>
      </c>
      <c r="D64" s="15" t="n">
        <f aca="false">IF(C64=0,0,B64/C64*1000)</f>
        <v>0.166111111111111</v>
      </c>
      <c r="E64" s="2" t="s">
        <v>110</v>
      </c>
      <c r="F64" s="2"/>
      <c r="G64" s="2"/>
      <c r="H64" s="2"/>
      <c r="I64" s="2"/>
      <c r="J64" s="2"/>
      <c r="K64" s="2"/>
      <c r="L64" s="2"/>
      <c r="M64" s="2"/>
    </row>
    <row r="65" customFormat="false" ht="15" hidden="false" customHeight="false" outlineLevel="0" collapsed="false">
      <c r="A65" s="2" t="s">
        <v>112</v>
      </c>
      <c r="B65" s="20" t="n">
        <v>990</v>
      </c>
      <c r="C65" s="10" t="n">
        <v>6000000</v>
      </c>
      <c r="D65" s="15" t="n">
        <f aca="false">IF(C65=0,0,B65/C65*1000)</f>
        <v>0.165</v>
      </c>
      <c r="E65" s="2" t="s">
        <v>110</v>
      </c>
      <c r="F65" s="2"/>
      <c r="G65" s="2"/>
      <c r="H65" s="2"/>
      <c r="I65" s="2"/>
      <c r="J65" s="2"/>
      <c r="K65" s="2"/>
      <c r="L65" s="2"/>
      <c r="M65" s="2"/>
    </row>
    <row r="66" customFormat="false" ht="15" hidden="false" customHeight="false" outlineLevel="0" collapsed="false">
      <c r="A66" s="2" t="s">
        <v>113</v>
      </c>
      <c r="B66" s="20" t="n">
        <v>3000</v>
      </c>
      <c r="C66" s="10" t="n">
        <v>30000000</v>
      </c>
      <c r="D66" s="15" t="n">
        <f aca="false">IF(C66=0,0,B66/C66*1000)</f>
        <v>0.1</v>
      </c>
      <c r="E66" s="2" t="s">
        <v>114</v>
      </c>
      <c r="F66" s="2"/>
      <c r="G66" s="2"/>
      <c r="H66" s="2"/>
      <c r="I66" s="2"/>
      <c r="J66" s="2"/>
      <c r="K66" s="2"/>
      <c r="L66" s="2"/>
      <c r="M66" s="2"/>
    </row>
    <row r="67" customFormat="false" ht="15" hidden="false" customHeight="false" outlineLevel="0" collapsed="false">
      <c r="A67" s="5" t="s">
        <v>115</v>
      </c>
      <c r="B67" s="5" t="s">
        <v>16</v>
      </c>
      <c r="C67" s="5" t="s">
        <v>17</v>
      </c>
      <c r="D67" s="5" t="s">
        <v>18</v>
      </c>
      <c r="E67" s="5" t="s">
        <v>19</v>
      </c>
      <c r="F67" s="2"/>
      <c r="G67" s="2"/>
      <c r="H67" s="2"/>
      <c r="I67" s="2"/>
      <c r="J67" s="2"/>
      <c r="K67" s="2"/>
      <c r="L67" s="2"/>
      <c r="M67" s="2"/>
    </row>
    <row r="68" customFormat="false" ht="15" hidden="false" customHeight="false" outlineLevel="0" collapsed="false">
      <c r="A68" s="2" t="s">
        <v>116</v>
      </c>
      <c r="B68" s="9" t="s">
        <v>111</v>
      </c>
      <c r="C68" s="9" t="s">
        <v>112</v>
      </c>
      <c r="D68" s="9" t="s">
        <v>113</v>
      </c>
      <c r="E68" s="9" t="s">
        <v>113</v>
      </c>
      <c r="F68" s="2"/>
      <c r="G68" s="2"/>
      <c r="H68" s="2"/>
      <c r="I68" s="2"/>
      <c r="J68" s="2"/>
      <c r="K68" s="2"/>
      <c r="L68" s="2"/>
      <c r="M68" s="2"/>
    </row>
    <row r="69" customFormat="false" ht="15" hidden="false" customHeight="false" outlineLevel="0" collapsed="false">
      <c r="A69" s="2" t="s">
        <v>117</v>
      </c>
      <c r="B69" s="13" t="n">
        <v>0.15</v>
      </c>
      <c r="C69" s="13" t="n">
        <v>0.12</v>
      </c>
      <c r="D69" s="13" t="n">
        <v>0.08</v>
      </c>
      <c r="E69" s="13" t="n">
        <v>0.06</v>
      </c>
      <c r="F69" s="2"/>
      <c r="G69" s="2"/>
      <c r="H69" s="2"/>
      <c r="I69" s="2"/>
      <c r="J69" s="2"/>
      <c r="K69" s="2"/>
      <c r="L69" s="2"/>
      <c r="M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customFormat="false" ht="15" hidden="false" customHeight="false" outlineLevel="0" collapsed="false">
      <c r="A71" s="4" t="s">
        <v>118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customFormat="false" ht="15" hidden="false" customHeight="false" outlineLevel="0" collapsed="false">
      <c r="A72" s="5" t="s">
        <v>119</v>
      </c>
      <c r="B72" s="5" t="s">
        <v>120</v>
      </c>
      <c r="C72" s="5" t="s">
        <v>121</v>
      </c>
      <c r="D72" s="5" t="s">
        <v>122</v>
      </c>
      <c r="E72" s="5" t="s">
        <v>38</v>
      </c>
      <c r="F72" s="2"/>
      <c r="G72" s="2"/>
      <c r="H72" s="2"/>
      <c r="I72" s="2"/>
      <c r="J72" s="2"/>
      <c r="K72" s="2"/>
      <c r="L72" s="2"/>
      <c r="M72" s="2"/>
    </row>
    <row r="73" customFormat="false" ht="15" hidden="false" customHeight="false" outlineLevel="0" collapsed="false">
      <c r="A73" s="2" t="s">
        <v>123</v>
      </c>
      <c r="B73" s="20" t="n">
        <v>8</v>
      </c>
      <c r="C73" s="20" t="n">
        <v>15</v>
      </c>
      <c r="D73" s="20" t="n">
        <v>22</v>
      </c>
      <c r="E73" s="2" t="s">
        <v>124</v>
      </c>
      <c r="F73" s="2"/>
      <c r="G73" s="2"/>
      <c r="H73" s="2"/>
      <c r="I73" s="2"/>
      <c r="J73" s="2"/>
      <c r="K73" s="2"/>
      <c r="L73" s="2"/>
      <c r="M73" s="2"/>
    </row>
    <row r="74" customFormat="false" ht="15" hidden="false" customHeight="false" outlineLevel="0" collapsed="false">
      <c r="A74" s="2" t="s">
        <v>125</v>
      </c>
      <c r="B74" s="12" t="n">
        <v>0.4</v>
      </c>
      <c r="C74" s="12" t="n">
        <v>0.6</v>
      </c>
      <c r="D74" s="12" t="n">
        <v>0.8</v>
      </c>
      <c r="E74" s="2" t="s">
        <v>51</v>
      </c>
      <c r="F74" s="2"/>
      <c r="G74" s="2"/>
      <c r="H74" s="2"/>
      <c r="I74" s="2"/>
      <c r="J74" s="2"/>
      <c r="K74" s="2"/>
      <c r="L74" s="2"/>
      <c r="M74" s="2"/>
    </row>
    <row r="75" customFormat="false" ht="15" hidden="false" customHeight="false" outlineLevel="0" collapsed="false">
      <c r="A75" s="2" t="s">
        <v>126</v>
      </c>
      <c r="B75" s="12" t="n">
        <v>0.5</v>
      </c>
      <c r="C75" s="12" t="n">
        <v>0.6</v>
      </c>
      <c r="D75" s="12" t="n">
        <v>0.7</v>
      </c>
      <c r="E75" s="2" t="s">
        <v>51</v>
      </c>
      <c r="F75" s="2"/>
      <c r="G75" s="2"/>
      <c r="H75" s="2"/>
      <c r="I75" s="2"/>
      <c r="J75" s="2"/>
      <c r="K75" s="2"/>
      <c r="L75" s="2"/>
      <c r="M75" s="2"/>
    </row>
    <row r="76" customFormat="false" ht="15" hidden="false" customHeight="false" outlineLevel="0" collapsed="false">
      <c r="A76" s="2" t="s">
        <v>127</v>
      </c>
      <c r="B76" s="20" t="n">
        <v>300</v>
      </c>
      <c r="C76" s="20" t="n">
        <v>750</v>
      </c>
      <c r="D76" s="20" t="n">
        <v>1500</v>
      </c>
      <c r="E76" s="2" t="s">
        <v>124</v>
      </c>
      <c r="F76" s="2"/>
      <c r="G76" s="2"/>
      <c r="H76" s="2"/>
      <c r="I76" s="2"/>
      <c r="J76" s="2"/>
      <c r="K76" s="2"/>
      <c r="L76" s="2"/>
      <c r="M76" s="2"/>
    </row>
    <row r="77" customFormat="false" ht="15" hidden="false" customHeight="false" outlineLevel="0" collapsed="false">
      <c r="A77" s="2" t="s">
        <v>128</v>
      </c>
      <c r="B77" s="20" t="n">
        <v>1000</v>
      </c>
      <c r="C77" s="20" t="n">
        <v>2000</v>
      </c>
      <c r="D77" s="20" t="n">
        <v>3500</v>
      </c>
      <c r="E77" s="2" t="s">
        <v>124</v>
      </c>
      <c r="F77" s="2"/>
      <c r="G77" s="2"/>
      <c r="H77" s="2"/>
      <c r="I77" s="2"/>
      <c r="J77" s="2"/>
      <c r="K77" s="2"/>
      <c r="L77" s="2"/>
      <c r="M77" s="2"/>
    </row>
    <row r="78" customFormat="false" ht="15" hidden="false" customHeight="false" outlineLevel="0" collapsed="false">
      <c r="A78" s="2" t="s">
        <v>129</v>
      </c>
      <c r="B78" s="20" t="n">
        <v>500</v>
      </c>
      <c r="C78" s="20" t="n">
        <v>1500</v>
      </c>
      <c r="D78" s="20" t="n">
        <v>3000</v>
      </c>
      <c r="E78" s="2" t="s">
        <v>124</v>
      </c>
      <c r="F78" s="2"/>
      <c r="G78" s="2"/>
      <c r="H78" s="2"/>
      <c r="I78" s="2"/>
      <c r="J78" s="2"/>
      <c r="K78" s="2"/>
      <c r="L78" s="2"/>
      <c r="M78" s="2"/>
    </row>
    <row r="79" customFormat="false" ht="15" hidden="false" customHeight="false" outlineLevel="0" collapsed="false">
      <c r="A79" s="2" t="s">
        <v>130</v>
      </c>
      <c r="B79" s="20" t="n">
        <v>1500</v>
      </c>
      <c r="C79" s="20" t="n">
        <v>3000</v>
      </c>
      <c r="D79" s="20" t="n">
        <v>5000</v>
      </c>
      <c r="E79" s="2" t="s">
        <v>124</v>
      </c>
      <c r="F79" s="2"/>
      <c r="G79" s="2"/>
      <c r="H79" s="2"/>
      <c r="I79" s="2"/>
      <c r="J79" s="2"/>
      <c r="K79" s="2"/>
      <c r="L79" s="2"/>
      <c r="M79" s="2"/>
    </row>
    <row r="80" customFormat="false" ht="15" hidden="false" customHeight="false" outlineLevel="0" collapsed="false">
      <c r="A80" s="2" t="s">
        <v>131</v>
      </c>
      <c r="B80" s="20" t="n">
        <v>3</v>
      </c>
      <c r="C80" s="20" t="n">
        <v>5</v>
      </c>
      <c r="D80" s="20" t="n">
        <v>7</v>
      </c>
      <c r="E80" s="2" t="s">
        <v>124</v>
      </c>
      <c r="F80" s="2"/>
      <c r="G80" s="2"/>
      <c r="H80" s="2"/>
      <c r="I80" s="2"/>
      <c r="J80" s="2"/>
      <c r="K80" s="2"/>
      <c r="L80" s="2"/>
      <c r="M80" s="2"/>
    </row>
    <row r="81" customFormat="false" ht="15" hidden="false" customHeight="false" outlineLevel="0" collapsed="false">
      <c r="A81" s="2" t="s">
        <v>132</v>
      </c>
      <c r="B81" s="12" t="n">
        <v>0.7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customFormat="false" ht="15" hidden="false" customHeight="false" outlineLevel="0" collapsed="false">
      <c r="A83" s="4" t="s">
        <v>133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customFormat="false" ht="15" hidden="false" customHeight="false" outlineLevel="0" collapsed="false">
      <c r="A84" s="5" t="s">
        <v>134</v>
      </c>
      <c r="B84" s="5" t="s">
        <v>16</v>
      </c>
      <c r="C84" s="5" t="s">
        <v>17</v>
      </c>
      <c r="D84" s="5" t="s">
        <v>18</v>
      </c>
      <c r="E84" s="5" t="s">
        <v>19</v>
      </c>
      <c r="F84" s="2"/>
      <c r="G84" s="2"/>
      <c r="H84" s="2"/>
      <c r="I84" s="2"/>
      <c r="J84" s="2"/>
      <c r="K84" s="2"/>
      <c r="L84" s="2"/>
      <c r="M84" s="2"/>
    </row>
    <row r="85" customFormat="false" ht="15" hidden="false" customHeight="false" outlineLevel="0" collapsed="false">
      <c r="A85" s="2" t="s">
        <v>135</v>
      </c>
      <c r="B85" s="17" t="n">
        <v>0.25</v>
      </c>
      <c r="C85" s="17" t="n">
        <v>0.5</v>
      </c>
      <c r="D85" s="17" t="n">
        <v>1</v>
      </c>
      <c r="E85" s="17" t="n">
        <v>1.5</v>
      </c>
      <c r="F85" s="2"/>
      <c r="G85" s="2"/>
      <c r="H85" s="2"/>
      <c r="I85" s="2"/>
      <c r="J85" s="2"/>
      <c r="K85" s="2"/>
      <c r="L85" s="2"/>
      <c r="M85" s="2"/>
    </row>
    <row r="86" customFormat="false" ht="15" hidden="false" customHeight="false" outlineLevel="0" collapsed="false">
      <c r="A86" s="2" t="s">
        <v>136</v>
      </c>
      <c r="B86" s="10" t="n">
        <v>0</v>
      </c>
      <c r="C86" s="10" t="n">
        <v>1</v>
      </c>
      <c r="D86" s="10" t="n">
        <v>5</v>
      </c>
      <c r="E86" s="10" t="n">
        <v>20</v>
      </c>
      <c r="F86" s="2"/>
      <c r="G86" s="2"/>
      <c r="H86" s="2"/>
      <c r="I86" s="2"/>
      <c r="J86" s="2"/>
      <c r="K86" s="2"/>
      <c r="L86" s="2"/>
      <c r="M86" s="2"/>
    </row>
    <row r="87" customFormat="false" ht="15" hidden="false" customHeight="false" outlineLevel="0" collapsed="false">
      <c r="A87" s="2" t="s">
        <v>137</v>
      </c>
      <c r="B87" s="10" t="n">
        <v>0</v>
      </c>
      <c r="C87" s="10" t="n">
        <v>0</v>
      </c>
      <c r="D87" s="10" t="n">
        <v>3</v>
      </c>
      <c r="E87" s="10" t="n">
        <v>15</v>
      </c>
      <c r="F87" s="2"/>
      <c r="G87" s="2"/>
      <c r="H87" s="2"/>
      <c r="I87" s="2"/>
      <c r="J87" s="2"/>
      <c r="K87" s="2"/>
      <c r="L87" s="2"/>
      <c r="M87" s="2"/>
    </row>
    <row r="88" customFormat="false" ht="15" hidden="false" customHeight="false" outlineLevel="0" collapsed="false">
      <c r="A88" s="2" t="s">
        <v>138</v>
      </c>
      <c r="B88" s="10" t="n">
        <v>1</v>
      </c>
      <c r="C88" s="10" t="n">
        <v>2</v>
      </c>
      <c r="D88" s="10" t="n">
        <v>3</v>
      </c>
      <c r="E88" s="10" t="n">
        <v>4</v>
      </c>
      <c r="F88" s="2"/>
      <c r="G88" s="2"/>
      <c r="H88" s="2"/>
      <c r="I88" s="2"/>
      <c r="J88" s="2"/>
      <c r="K88" s="2"/>
      <c r="L88" s="2"/>
      <c r="M88" s="2"/>
    </row>
    <row r="89" customFormat="false" ht="15" hidden="false" customHeight="false" outlineLevel="0" collapsed="false">
      <c r="A89" s="2" t="s">
        <v>139</v>
      </c>
      <c r="B89" s="10" t="n">
        <v>0</v>
      </c>
      <c r="C89" s="10" t="n">
        <v>50</v>
      </c>
      <c r="D89" s="10" t="n">
        <v>500</v>
      </c>
      <c r="E89" s="10" t="n">
        <v>3000</v>
      </c>
      <c r="F89" s="2"/>
      <c r="G89" s="2"/>
      <c r="H89" s="2"/>
      <c r="I89" s="2"/>
      <c r="J89" s="2"/>
      <c r="K89" s="2"/>
      <c r="L89" s="2"/>
      <c r="M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customFormat="false" ht="15" hidden="false" customHeight="false" outlineLevel="0" collapsed="false">
      <c r="A91" s="4" t="s">
        <v>140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customFormat="false" ht="15" hidden="false" customHeight="false" outlineLevel="0" collapsed="false">
      <c r="A92" s="5" t="s">
        <v>141</v>
      </c>
      <c r="B92" s="5" t="s">
        <v>142</v>
      </c>
      <c r="C92" s="5" t="s">
        <v>143</v>
      </c>
      <c r="D92" s="5" t="s">
        <v>144</v>
      </c>
      <c r="E92" s="5" t="s">
        <v>145</v>
      </c>
      <c r="F92" s="5" t="s">
        <v>146</v>
      </c>
      <c r="G92" s="5" t="s">
        <v>147</v>
      </c>
      <c r="H92" s="5" t="s">
        <v>148</v>
      </c>
      <c r="I92" s="5" t="s">
        <v>149</v>
      </c>
      <c r="J92" s="5" t="s">
        <v>150</v>
      </c>
      <c r="K92" s="5" t="s">
        <v>151</v>
      </c>
      <c r="L92" s="5" t="s">
        <v>152</v>
      </c>
      <c r="M92" s="5" t="s">
        <v>153</v>
      </c>
    </row>
    <row r="93" customFormat="false" ht="15" hidden="false" customHeight="false" outlineLevel="0" collapsed="false">
      <c r="A93" s="2" t="s">
        <v>154</v>
      </c>
      <c r="B93" s="19" t="n">
        <v>1</v>
      </c>
      <c r="C93" s="19" t="n">
        <v>1</v>
      </c>
      <c r="D93" s="19" t="n">
        <v>1</v>
      </c>
      <c r="E93" s="19" t="n">
        <v>2</v>
      </c>
      <c r="F93" s="19" t="n">
        <v>2</v>
      </c>
      <c r="G93" s="19" t="n">
        <v>2</v>
      </c>
      <c r="H93" s="19" t="n">
        <v>3</v>
      </c>
      <c r="I93" s="19" t="n">
        <v>3</v>
      </c>
      <c r="J93" s="19" t="n">
        <v>3</v>
      </c>
      <c r="K93" s="19" t="n">
        <v>3</v>
      </c>
      <c r="L93" s="19" t="n">
        <v>3</v>
      </c>
      <c r="M93" s="19" t="n">
        <v>3</v>
      </c>
    </row>
    <row r="94" customFormat="false" ht="15" hidden="false" customHeight="false" outlineLevel="0" collapsed="false">
      <c r="A94" s="2" t="s">
        <v>155</v>
      </c>
      <c r="B94" s="12" t="n">
        <v>0.1</v>
      </c>
      <c r="C94" s="12" t="n">
        <v>0.2</v>
      </c>
      <c r="D94" s="12" t="n">
        <v>0.3</v>
      </c>
      <c r="E94" s="12" t="n">
        <v>0.35</v>
      </c>
      <c r="F94" s="12" t="n">
        <v>0.45</v>
      </c>
      <c r="G94" s="12" t="n">
        <v>0.55</v>
      </c>
      <c r="H94" s="12" t="n">
        <v>0.5</v>
      </c>
      <c r="I94" s="12" t="n">
        <v>0.6</v>
      </c>
      <c r="J94" s="12" t="n">
        <v>0.7</v>
      </c>
      <c r="K94" s="12" t="n">
        <v>0.8</v>
      </c>
      <c r="L94" s="12" t="n">
        <v>0.9</v>
      </c>
      <c r="M94" s="1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8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24"/>
  </cols>
  <sheetData>
    <row r="1" customFormat="false" ht="17.35" hidden="false" customHeight="false" outlineLevel="0" collapsed="false">
      <c r="A1" s="1" t="s">
        <v>156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157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26.85" hidden="false" customHeight="false" outlineLevel="0" collapsed="false">
      <c r="A4" s="5" t="s">
        <v>87</v>
      </c>
      <c r="B4" s="5" t="s">
        <v>158</v>
      </c>
      <c r="C4" s="5" t="s">
        <v>159</v>
      </c>
      <c r="D4" s="5" t="s">
        <v>160</v>
      </c>
      <c r="E4" s="5" t="s">
        <v>161</v>
      </c>
      <c r="F4" s="5" t="s">
        <v>162</v>
      </c>
      <c r="G4" s="5" t="s">
        <v>163</v>
      </c>
      <c r="H4" s="5" t="s">
        <v>164</v>
      </c>
      <c r="I4" s="5" t="s">
        <v>165</v>
      </c>
    </row>
    <row r="5" customFormat="false" ht="15" hidden="false" customHeight="false" outlineLevel="0" collapsed="false">
      <c r="A5" s="2" t="s">
        <v>94</v>
      </c>
      <c r="B5" s="6" t="n">
        <f aca="false">Assumptions!B41</f>
        <v>7</v>
      </c>
      <c r="C5" s="15" t="n">
        <f aca="false">Assumptions!$F$37*Assumptions!D41*(1-Assumptions!$B$14)*(1-Assumptions!E41*Assumptions!$B$17)*(1+Assumptions!$B$15*Assumptions!$B$16)</f>
        <v>2.00334205</v>
      </c>
      <c r="D5" s="15" t="n">
        <f aca="false">B5*Assumptions!$B$10*Assumptions!$B$11*INDEX(Scenarios!$C$30:$F$30,Assumptions!$B$6)</f>
        <v>1.90604543704274</v>
      </c>
      <c r="E5" s="16" t="n">
        <f aca="false">C5+D5</f>
        <v>3.90938748704274</v>
      </c>
      <c r="F5" s="21" t="n">
        <f aca="false">Assumptions!F41*INDEX(Assumptions!$B$73:$D$73,Assumptions!$B$5)/1000*INDEX(Assumptions!$B$74:$D$74,Assumptions!$B$5)*INDEX(Assumptions!$B$75:$D$75,Assumptions!$B$5)</f>
        <v>0.0108</v>
      </c>
      <c r="G5" s="22" t="n">
        <f aca="false">IF(F5=0,0,E5/F5)</f>
        <v>361.980322874328</v>
      </c>
      <c r="H5" s="23" t="n">
        <f aca="false">Assumptions!G41*INDEX(Assumptions!$B$58:$E$58,Assumptions!$B$6)</f>
        <v>225</v>
      </c>
      <c r="I5" s="15" t="n">
        <f aca="false">H5*F5-E5</f>
        <v>-1.47938748704274</v>
      </c>
    </row>
    <row r="6" customFormat="false" ht="15" hidden="false" customHeight="false" outlineLevel="0" collapsed="false">
      <c r="A6" s="2" t="s">
        <v>96</v>
      </c>
      <c r="B6" s="6" t="n">
        <f aca="false">Assumptions!B42</f>
        <v>3</v>
      </c>
      <c r="C6" s="15" t="n">
        <f aca="false">Assumptions!$F$37*Assumptions!D42*(1-Assumptions!$B$14)*(1-Assumptions!E42*Assumptions!$B$17)*(1+Assumptions!$B$15*Assumptions!$B$16)</f>
        <v>1.60267364</v>
      </c>
      <c r="D6" s="15" t="n">
        <f aca="false">B6*Assumptions!$B$10*Assumptions!$B$11*INDEX(Scenarios!$C$30:$F$30,Assumptions!$B$6)</f>
        <v>0.816876615875461</v>
      </c>
      <c r="E6" s="16" t="n">
        <f aca="false">C6+D6</f>
        <v>2.41955025587546</v>
      </c>
      <c r="F6" s="21" t="n">
        <f aca="false">Assumptions!F42*INDEX(Assumptions!$B$73:$D$73,Assumptions!$B$5)/1000*INDEX(Assumptions!$B$74:$D$74,Assumptions!$B$5)*INDEX(Assumptions!$B$75:$D$75,Assumptions!$B$5)</f>
        <v>0.0054</v>
      </c>
      <c r="G6" s="22" t="n">
        <f aca="false">IF(F6=0,0,E6/F6)</f>
        <v>448.064862199159</v>
      </c>
      <c r="H6" s="23" t="n">
        <f aca="false">Assumptions!G42*INDEX(Assumptions!$B$58:$E$58,Assumptions!$B$6)</f>
        <v>900</v>
      </c>
      <c r="I6" s="15" t="n">
        <f aca="false">H6*F6-E6</f>
        <v>2.44044974412454</v>
      </c>
    </row>
    <row r="7" customFormat="false" ht="15" hidden="false" customHeight="false" outlineLevel="0" collapsed="false">
      <c r="A7" s="2" t="s">
        <v>97</v>
      </c>
      <c r="B7" s="6" t="n">
        <f aca="false">Assumptions!B43</f>
        <v>10</v>
      </c>
      <c r="C7" s="15" t="n">
        <f aca="false">Assumptions!$F$37*Assumptions!D43*(1-Assumptions!$B$14)*(1-Assumptions!E43*Assumptions!$B$17)*(1+Assumptions!$B$15*Assumptions!$B$16)</f>
        <v>2.604344665</v>
      </c>
      <c r="D7" s="15" t="n">
        <f aca="false">B7*Assumptions!$B$10*Assumptions!$B$11*INDEX(Scenarios!$C$30:$F$30,Assumptions!$B$6)</f>
        <v>2.7229220529182</v>
      </c>
      <c r="E7" s="16" t="n">
        <f aca="false">C7+D7</f>
        <v>5.3272667179182</v>
      </c>
      <c r="F7" s="21" t="n">
        <f aca="false">Assumptions!F43*INDEX(Assumptions!$B$73:$D$73,Assumptions!$B$5)/1000*INDEX(Assumptions!$B$74:$D$74,Assumptions!$B$5)*INDEX(Assumptions!$B$75:$D$75,Assumptions!$B$5)</f>
        <v>0.0108</v>
      </c>
      <c r="G7" s="22" t="n">
        <f aca="false">IF(F7=0,0,E7/F7)</f>
        <v>493.265436844278</v>
      </c>
      <c r="H7" s="23" t="n">
        <f aca="false">Assumptions!G43*INDEX(Assumptions!$B$58:$E$58,Assumptions!$B$6)</f>
        <v>180</v>
      </c>
      <c r="I7" s="15" t="n">
        <f aca="false">H7*F7-E7</f>
        <v>-3.3832667179182</v>
      </c>
    </row>
    <row r="8" customFormat="false" ht="15" hidden="false" customHeight="false" outlineLevel="0" collapsed="false">
      <c r="A8" s="2" t="s">
        <v>98</v>
      </c>
      <c r="B8" s="6" t="n">
        <f aca="false">Assumptions!B44</f>
        <v>20</v>
      </c>
      <c r="C8" s="15" t="n">
        <f aca="false">Assumptions!$F$37*Assumptions!D44*(1-Assumptions!$B$14)*(1-Assumptions!E44*Assumptions!$B$17)*(1+Assumptions!$B$15*Assumptions!$B$16)</f>
        <v>3.60601569</v>
      </c>
      <c r="D8" s="15" t="n">
        <f aca="false">B8*Assumptions!$B$10*Assumptions!$B$11*INDEX(Scenarios!$C$30:$F$30,Assumptions!$B$6)</f>
        <v>5.44584410583641</v>
      </c>
      <c r="E8" s="16" t="n">
        <f aca="false">C8+D8</f>
        <v>9.05185979583641</v>
      </c>
      <c r="F8" s="21" t="n">
        <f aca="false">Assumptions!F44*INDEX(Assumptions!$B$73:$D$73,Assumptions!$B$5)/1000*INDEX(Assumptions!$B$74:$D$74,Assumptions!$B$5)*INDEX(Assumptions!$B$75:$D$75,Assumptions!$B$5)</f>
        <v>0.0162</v>
      </c>
      <c r="G8" s="22" t="n">
        <f aca="false">IF(F8=0,0,E8/F8)</f>
        <v>558.756777520766</v>
      </c>
      <c r="H8" s="23" t="n">
        <f aca="false">Assumptions!G44*INDEX(Assumptions!$B$58:$E$58,Assumptions!$B$6)</f>
        <v>600</v>
      </c>
      <c r="I8" s="15" t="n">
        <f aca="false">H8*F8-E8</f>
        <v>0.668140204163594</v>
      </c>
    </row>
    <row r="9" customFormat="false" ht="15" hidden="false" customHeight="false" outlineLevel="0" collapsed="false">
      <c r="A9" s="2" t="s">
        <v>99</v>
      </c>
      <c r="B9" s="6" t="n">
        <f aca="false">Assumptions!B45</f>
        <v>22</v>
      </c>
      <c r="C9" s="15" t="n">
        <f aca="false">Assumptions!$F$37*Assumptions!D45*(1-Assumptions!$B$14)*(1-Assumptions!E45*Assumptions!$B$17)*(1+Assumptions!$B$15*Assumptions!$B$16)</f>
        <v>2.203676255</v>
      </c>
      <c r="D9" s="15" t="n">
        <f aca="false">B9*Assumptions!$B$10*Assumptions!$B$11*INDEX(Scenarios!$C$30:$F$30,Assumptions!$B$6)</f>
        <v>5.99042851642005</v>
      </c>
      <c r="E9" s="16" t="n">
        <f aca="false">C9+D9</f>
        <v>8.19410477142005</v>
      </c>
      <c r="F9" s="21" t="n">
        <f aca="false">Assumptions!F45*INDEX(Assumptions!$B$73:$D$73,Assumptions!$B$5)/1000*INDEX(Assumptions!$B$74:$D$74,Assumptions!$B$5)*INDEX(Assumptions!$B$75:$D$75,Assumptions!$B$5)</f>
        <v>0.0162</v>
      </c>
      <c r="G9" s="22" t="n">
        <f aca="false">IF(F9=0,0,E9/F9)</f>
        <v>505.80893650741</v>
      </c>
      <c r="H9" s="23" t="n">
        <f aca="false">Assumptions!G45*INDEX(Assumptions!$B$58:$E$58,Assumptions!$B$6)</f>
        <v>1050</v>
      </c>
      <c r="I9" s="15" t="n">
        <f aca="false">H9*F9-E9</f>
        <v>8.81589522857995</v>
      </c>
    </row>
    <row r="10" customFormat="false" ht="15" hidden="false" customHeight="false" outlineLevel="0" collapsed="false">
      <c r="A10" s="2" t="s">
        <v>100</v>
      </c>
      <c r="B10" s="6" t="n">
        <f aca="false">Assumptions!B46</f>
        <v>18</v>
      </c>
      <c r="C10" s="15" t="n">
        <f aca="false">Assumptions!$F$37*Assumptions!D46*(1-Assumptions!$B$14)*(1-Assumptions!E46*Assumptions!$B$17)*(1+Assumptions!$B$15*Assumptions!$B$16)</f>
        <v>1.803007845</v>
      </c>
      <c r="D10" s="15" t="n">
        <f aca="false">B10*Assumptions!$B$10*Assumptions!$B$11*INDEX(Scenarios!$C$30:$F$30,Assumptions!$B$6)</f>
        <v>4.90125969525276</v>
      </c>
      <c r="E10" s="16" t="n">
        <f aca="false">C10+D10</f>
        <v>6.70426754025276</v>
      </c>
      <c r="F10" s="21" t="n">
        <f aca="false">Assumptions!F46*INDEX(Assumptions!$B$73:$D$73,Assumptions!$B$5)/1000*INDEX(Assumptions!$B$74:$D$74,Assumptions!$B$5)*INDEX(Assumptions!$B$75:$D$75,Assumptions!$B$5)</f>
        <v>0.0162</v>
      </c>
      <c r="G10" s="22" t="n">
        <f aca="false">IF(F10=0,0,E10/F10)</f>
        <v>413.843675324245</v>
      </c>
      <c r="H10" s="23" t="n">
        <f aca="false">Assumptions!G46*INDEX(Assumptions!$B$58:$E$58,Assumptions!$B$6)</f>
        <v>750</v>
      </c>
      <c r="I10" s="15" t="n">
        <f aca="false">H10*F10-E10</f>
        <v>5.44573245974723</v>
      </c>
    </row>
    <row r="11" customFormat="false" ht="15" hidden="false" customHeight="false" outlineLevel="0" collapsed="false">
      <c r="A11" s="2" t="s">
        <v>101</v>
      </c>
      <c r="B11" s="6" t="n">
        <f aca="false">Assumptions!B47</f>
        <v>5</v>
      </c>
      <c r="C11" s="15" t="n">
        <f aca="false">Assumptions!$F$37*Assumptions!D47*(1-Assumptions!$B$14)*(1-Assumptions!E47*Assumptions!$B$17)*(1+Assumptions!$B$15*Assumptions!$B$16)</f>
        <v>1.20200523</v>
      </c>
      <c r="D11" s="15" t="n">
        <f aca="false">B11*Assumptions!$B$10*Assumptions!$B$11*INDEX(Scenarios!$C$30:$F$30,Assumptions!$B$6)</f>
        <v>1.3614610264591</v>
      </c>
      <c r="E11" s="16" t="n">
        <f aca="false">C11+D11</f>
        <v>2.5634662564591</v>
      </c>
      <c r="F11" s="21" t="n">
        <f aca="false">Assumptions!F47*INDEX(Assumptions!$B$73:$D$73,Assumptions!$B$5)/1000*INDEX(Assumptions!$B$74:$D$74,Assumptions!$B$5)*INDEX(Assumptions!$B$75:$D$75,Assumptions!$B$5)</f>
        <v>0.0054</v>
      </c>
      <c r="G11" s="22" t="n">
        <f aca="false">IF(F11=0,0,E11/F11)</f>
        <v>474.715973418352</v>
      </c>
      <c r="H11" s="23" t="n">
        <f aca="false">Assumptions!G47*INDEX(Assumptions!$B$58:$E$58,Assumptions!$B$6)</f>
        <v>90</v>
      </c>
      <c r="I11" s="15" t="n">
        <f aca="false">H11*F11-E11</f>
        <v>-2.0774662564591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15" hidden="false" customHeight="false" outlineLevel="0" collapsed="false">
      <c r="A13" s="2" t="s">
        <v>166</v>
      </c>
      <c r="B13" s="2"/>
      <c r="C13" s="2"/>
      <c r="D13" s="2"/>
      <c r="E13" s="2"/>
      <c r="F13" s="2"/>
      <c r="G13" s="2"/>
      <c r="H13" s="2"/>
      <c r="I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"/>
    <col collapsed="false" customWidth="true" hidden="false" outlineLevel="0" max="4" min="3" style="0" width="16"/>
    <col collapsed="false" customWidth="true" hidden="false" outlineLevel="0" max="6" min="5" style="0" width="18"/>
  </cols>
  <sheetData>
    <row r="1" customFormat="false" ht="17.35" hidden="false" customHeight="false" outlineLevel="0" collapsed="false">
      <c r="A1" s="1" t="s">
        <v>167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168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5" t="s">
        <v>169</v>
      </c>
      <c r="B3" s="5"/>
      <c r="C3" s="5" t="s">
        <v>16</v>
      </c>
      <c r="D3" s="5" t="s">
        <v>17</v>
      </c>
      <c r="E3" s="5" t="s">
        <v>18</v>
      </c>
      <c r="F3" s="5" t="s">
        <v>19</v>
      </c>
    </row>
    <row r="4" customFormat="false" ht="15" hidden="false" customHeight="false" outlineLevel="0" collapsed="false">
      <c r="A4" s="4" t="s">
        <v>20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24" t="s">
        <v>170</v>
      </c>
      <c r="B5" s="2"/>
      <c r="C5" s="23" t="n">
        <f aca="false">Assumptions!B51</f>
        <v>2</v>
      </c>
      <c r="D5" s="23" t="n">
        <f aca="false">Assumptions!C51</f>
        <v>6</v>
      </c>
      <c r="E5" s="23" t="n">
        <f aca="false">Assumptions!D51</f>
        <v>25</v>
      </c>
      <c r="F5" s="23" t="n">
        <f aca="false">Assumptions!E51</f>
        <v>100</v>
      </c>
    </row>
    <row r="6" customFormat="false" ht="15" hidden="false" customHeight="false" outlineLevel="0" collapsed="false">
      <c r="A6" s="24" t="s">
        <v>171</v>
      </c>
      <c r="B6" s="2"/>
      <c r="C6" s="23" t="n">
        <f aca="false">Assumptions!B52</f>
        <v>1</v>
      </c>
      <c r="D6" s="23" t="n">
        <f aca="false">Assumptions!C52</f>
        <v>2</v>
      </c>
      <c r="E6" s="23" t="n">
        <f aca="false">Assumptions!D52</f>
        <v>3</v>
      </c>
      <c r="F6" s="23" t="n">
        <f aca="false">Assumptions!E52</f>
        <v>5</v>
      </c>
    </row>
    <row r="7" customFormat="false" ht="15" hidden="false" customHeight="false" outlineLevel="0" collapsed="false">
      <c r="A7" s="24" t="s">
        <v>172</v>
      </c>
      <c r="B7" s="2"/>
      <c r="C7" s="23" t="n">
        <f aca="false">Assumptions!B53</f>
        <v>1</v>
      </c>
      <c r="D7" s="23" t="n">
        <f aca="false">Assumptions!C53</f>
        <v>3</v>
      </c>
      <c r="E7" s="23" t="n">
        <f aca="false">Assumptions!D53</f>
        <v>10</v>
      </c>
      <c r="F7" s="23" t="n">
        <f aca="false">Assumptions!E53</f>
        <v>30</v>
      </c>
    </row>
    <row r="8" customFormat="false" ht="15" hidden="false" customHeight="false" outlineLevel="0" collapsed="false">
      <c r="A8" s="24" t="s">
        <v>173</v>
      </c>
      <c r="B8" s="2"/>
      <c r="C8" s="23" t="n">
        <f aca="false">Assumptions!B54</f>
        <v>1</v>
      </c>
      <c r="D8" s="23" t="n">
        <f aca="false">Assumptions!C54</f>
        <v>1</v>
      </c>
      <c r="E8" s="23" t="n">
        <f aca="false">Assumptions!D54</f>
        <v>2</v>
      </c>
      <c r="F8" s="23" t="n">
        <f aca="false">Assumptions!E54</f>
        <v>4</v>
      </c>
    </row>
    <row r="9" customFormat="false" ht="15" hidden="false" customHeight="false" outlineLevel="0" collapsed="false">
      <c r="A9" s="24" t="s">
        <v>174</v>
      </c>
      <c r="B9" s="2"/>
      <c r="C9" s="23" t="n">
        <f aca="false">Assumptions!B55</f>
        <v>1</v>
      </c>
      <c r="D9" s="23" t="n">
        <f aca="false">Assumptions!C55</f>
        <v>1</v>
      </c>
      <c r="E9" s="23" t="n">
        <f aca="false">Assumptions!D55</f>
        <v>2</v>
      </c>
      <c r="F9" s="23" t="n">
        <f aca="false">Assumptions!E55</f>
        <v>4</v>
      </c>
    </row>
    <row r="10" customFormat="false" ht="15" hidden="false" customHeight="false" outlineLevel="0" collapsed="false">
      <c r="A10" s="24" t="s">
        <v>175</v>
      </c>
      <c r="B10" s="2"/>
      <c r="C10" s="23" t="n">
        <f aca="false">Assumptions!B56</f>
        <v>1</v>
      </c>
      <c r="D10" s="23" t="n">
        <f aca="false">Assumptions!C56</f>
        <v>4</v>
      </c>
      <c r="E10" s="23" t="n">
        <f aca="false">Assumptions!D56</f>
        <v>15</v>
      </c>
      <c r="F10" s="23" t="n">
        <f aca="false">Assumptions!E56</f>
        <v>50</v>
      </c>
    </row>
    <row r="11" customFormat="false" ht="15" hidden="false" customHeight="false" outlineLevel="0" collapsed="false">
      <c r="A11" s="24" t="s">
        <v>176</v>
      </c>
      <c r="B11" s="2"/>
      <c r="C11" s="23" t="n">
        <f aca="false">Assumptions!B57</f>
        <v>0</v>
      </c>
      <c r="D11" s="23" t="n">
        <f aca="false">Assumptions!C57</f>
        <v>10</v>
      </c>
      <c r="E11" s="23" t="n">
        <f aca="false">Assumptions!D57</f>
        <v>100</v>
      </c>
      <c r="F11" s="23" t="n">
        <f aca="false">Assumptions!E57</f>
        <v>500</v>
      </c>
    </row>
    <row r="12" customFormat="false" ht="15" hidden="false" customHeight="false" outlineLevel="0" collapsed="false">
      <c r="A12" s="4" t="s">
        <v>177</v>
      </c>
      <c r="B12" s="2"/>
      <c r="C12" s="22" t="n">
        <f aca="false">SUM(C5:C11)</f>
        <v>7</v>
      </c>
      <c r="D12" s="22" t="n">
        <f aca="false">SUM(D5:D11)</f>
        <v>27</v>
      </c>
      <c r="E12" s="22" t="n">
        <f aca="false">SUM(E5:E11)</f>
        <v>157</v>
      </c>
      <c r="F12" s="22" t="n">
        <f aca="false">SUM(F5:F11)</f>
        <v>693</v>
      </c>
    </row>
    <row r="13" customFormat="false" ht="15" hidden="false" customHeight="false" outlineLevel="0" collapsed="false">
      <c r="A13" s="4" t="s">
        <v>178</v>
      </c>
      <c r="B13" s="2"/>
      <c r="C13" s="2"/>
      <c r="D13" s="2"/>
      <c r="E13" s="2"/>
      <c r="F13" s="2"/>
    </row>
    <row r="14" customFormat="false" ht="15" hidden="false" customHeight="false" outlineLevel="0" collapsed="false">
      <c r="A14" s="24" t="s">
        <v>170</v>
      </c>
      <c r="B14" s="2"/>
      <c r="C14" s="23" t="n">
        <f aca="false">C5*Assumptions!$C$41</f>
        <v>43.4</v>
      </c>
      <c r="D14" s="23" t="n">
        <f aca="false">D5*Assumptions!$C$41</f>
        <v>130.2</v>
      </c>
      <c r="E14" s="23" t="n">
        <f aca="false">E5*Assumptions!$C$41</f>
        <v>542.5</v>
      </c>
      <c r="F14" s="23" t="n">
        <f aca="false">F5*Assumptions!$C$41</f>
        <v>2170</v>
      </c>
    </row>
    <row r="15" customFormat="false" ht="15" hidden="false" customHeight="false" outlineLevel="0" collapsed="false">
      <c r="A15" s="24" t="s">
        <v>171</v>
      </c>
      <c r="B15" s="2"/>
      <c r="C15" s="23" t="n">
        <f aca="false">C6*Assumptions!$C$42</f>
        <v>30</v>
      </c>
      <c r="D15" s="23" t="n">
        <f aca="false">D6*Assumptions!$C$42</f>
        <v>60</v>
      </c>
      <c r="E15" s="23" t="n">
        <f aca="false">E6*Assumptions!$C$42</f>
        <v>90</v>
      </c>
      <c r="F15" s="23" t="n">
        <f aca="false">F6*Assumptions!$C$42</f>
        <v>150</v>
      </c>
    </row>
    <row r="16" customFormat="false" ht="15" hidden="false" customHeight="false" outlineLevel="0" collapsed="false">
      <c r="A16" s="24" t="s">
        <v>172</v>
      </c>
      <c r="B16" s="2"/>
      <c r="C16" s="23" t="n">
        <f aca="false">C7*Assumptions!$C$43</f>
        <v>21.7</v>
      </c>
      <c r="D16" s="23" t="n">
        <f aca="false">D7*Assumptions!$C$43</f>
        <v>65.1</v>
      </c>
      <c r="E16" s="23" t="n">
        <f aca="false">E7*Assumptions!$C$43</f>
        <v>217</v>
      </c>
      <c r="F16" s="23" t="n">
        <f aca="false">F7*Assumptions!$C$43</f>
        <v>651</v>
      </c>
    </row>
    <row r="17" customFormat="false" ht="15" hidden="false" customHeight="false" outlineLevel="0" collapsed="false">
      <c r="A17" s="24" t="s">
        <v>173</v>
      </c>
      <c r="B17" s="2"/>
      <c r="C17" s="23" t="n">
        <f aca="false">C8*Assumptions!$C$44</f>
        <v>8.3</v>
      </c>
      <c r="D17" s="23" t="n">
        <f aca="false">D8*Assumptions!$C$44</f>
        <v>8.3</v>
      </c>
      <c r="E17" s="23" t="n">
        <f aca="false">E8*Assumptions!$C$44</f>
        <v>16.6</v>
      </c>
      <c r="F17" s="23" t="n">
        <f aca="false">F8*Assumptions!$C$44</f>
        <v>33.2</v>
      </c>
    </row>
    <row r="18" customFormat="false" ht="15" hidden="false" customHeight="false" outlineLevel="0" collapsed="false">
      <c r="A18" s="24" t="s">
        <v>174</v>
      </c>
      <c r="B18" s="2"/>
      <c r="C18" s="23" t="n">
        <f aca="false">C9*Assumptions!$C$45</f>
        <v>8.7</v>
      </c>
      <c r="D18" s="23" t="n">
        <f aca="false">D9*Assumptions!$C$45</f>
        <v>8.7</v>
      </c>
      <c r="E18" s="23" t="n">
        <f aca="false">E9*Assumptions!$C$45</f>
        <v>17.4</v>
      </c>
      <c r="F18" s="23" t="n">
        <f aca="false">F9*Assumptions!$C$45</f>
        <v>34.8</v>
      </c>
    </row>
    <row r="19" customFormat="false" ht="15" hidden="false" customHeight="false" outlineLevel="0" collapsed="false">
      <c r="A19" s="24" t="s">
        <v>175</v>
      </c>
      <c r="B19" s="2"/>
      <c r="C19" s="23" t="n">
        <f aca="false">C10*Assumptions!$C$46</f>
        <v>13</v>
      </c>
      <c r="D19" s="23" t="n">
        <f aca="false">D10*Assumptions!$C$46</f>
        <v>52</v>
      </c>
      <c r="E19" s="23" t="n">
        <f aca="false">E10*Assumptions!$C$46</f>
        <v>195</v>
      </c>
      <c r="F19" s="23" t="n">
        <f aca="false">F10*Assumptions!$C$46</f>
        <v>650</v>
      </c>
    </row>
    <row r="20" customFormat="false" ht="15" hidden="false" customHeight="false" outlineLevel="0" collapsed="false">
      <c r="A20" s="24" t="s">
        <v>176</v>
      </c>
      <c r="B20" s="2"/>
      <c r="C20" s="23" t="n">
        <f aca="false">C11*Assumptions!$C$47</f>
        <v>0</v>
      </c>
      <c r="D20" s="23" t="n">
        <f aca="false">D11*Assumptions!$C$47</f>
        <v>120</v>
      </c>
      <c r="E20" s="23" t="n">
        <f aca="false">E11*Assumptions!$C$47</f>
        <v>1200</v>
      </c>
      <c r="F20" s="23" t="n">
        <f aca="false">F11*Assumptions!$C$47</f>
        <v>6000</v>
      </c>
    </row>
    <row r="21" customFormat="false" ht="15" hidden="false" customHeight="false" outlineLevel="0" collapsed="false">
      <c r="A21" s="4" t="s">
        <v>179</v>
      </c>
      <c r="B21" s="2"/>
      <c r="C21" s="22" t="n">
        <f aca="false">SUM(C14:C20)</f>
        <v>125.1</v>
      </c>
      <c r="D21" s="22" t="n">
        <f aca="false">SUM(D14:D20)</f>
        <v>444.3</v>
      </c>
      <c r="E21" s="22" t="n">
        <f aca="false">SUM(E14:E20)</f>
        <v>2278.5</v>
      </c>
      <c r="F21" s="22" t="n">
        <f aca="false">SUM(F14:F20)</f>
        <v>9689</v>
      </c>
    </row>
    <row r="22" customFormat="false" ht="15" hidden="false" customHeight="false" outlineLevel="0" collapsed="false">
      <c r="A22" s="24" t="s">
        <v>180</v>
      </c>
      <c r="B22" s="2"/>
      <c r="C22" s="23" t="n">
        <f aca="false">C14*Assumptions!$B$41+C15*Assumptions!$B$42+C16*Assumptions!$B$43+C17*Assumptions!$B$44+C18*Assumptions!$B$45+C19*Assumptions!$B$46+C20*Assumptions!$B$47</f>
        <v>1202.2</v>
      </c>
      <c r="D22" s="23" t="n">
        <f aca="false">D14*Assumptions!$B$41+D15*Assumptions!$B$42+D16*Assumptions!$B$43+D17*Assumptions!$B$44+D18*Assumptions!$B$45+D19*Assumptions!$B$46+D20*Assumptions!$B$47</f>
        <v>3635.8</v>
      </c>
      <c r="E22" s="23" t="n">
        <f aca="false">E14*Assumptions!$B$41+E15*Assumptions!$B$42+E16*Assumptions!$B$43+E17*Assumptions!$B$44+E18*Assumptions!$B$45+E19*Assumptions!$B$46+E20*Assumptions!$B$47</f>
        <v>16462.3</v>
      </c>
      <c r="F22" s="23" t="n">
        <f aca="false">F14*Assumptions!$B$41+F15*Assumptions!$B$42+F16*Assumptions!$B$43+F17*Assumptions!$B$44+F18*Assumptions!$B$45+F19*Assumptions!$B$46+F20*Assumptions!$B$47</f>
        <v>65279.6</v>
      </c>
    </row>
    <row r="23" customFormat="false" ht="15" hidden="false" customHeight="false" outlineLevel="0" collapsed="false">
      <c r="A23" s="24" t="s">
        <v>181</v>
      </c>
      <c r="B23" s="2"/>
      <c r="C23" s="23" t="n">
        <f aca="false">C22*Assumptions!$B$10*Assumptions!$B$11</f>
        <v>1202200</v>
      </c>
      <c r="D23" s="23" t="n">
        <f aca="false">D22*Assumptions!$B$10*Assumptions!$B$11</f>
        <v>3635800</v>
      </c>
      <c r="E23" s="23" t="n">
        <f aca="false">E22*Assumptions!$B$10*Assumptions!$B$11</f>
        <v>16462300</v>
      </c>
      <c r="F23" s="23" t="n">
        <f aca="false">F22*Assumptions!$B$10*Assumptions!$B$11</f>
        <v>65279600</v>
      </c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</row>
    <row r="26" customFormat="false" ht="15" hidden="false" customHeight="false" outlineLevel="0" collapsed="false">
      <c r="A26" s="24" t="s">
        <v>182</v>
      </c>
      <c r="B26" s="2"/>
      <c r="C26" s="25" t="n">
        <f aca="false">INDEX(Assumptions!$B$62:$B$66,MATCH(Assumptions!B$68,Assumptions!$A$62:$A$66,0))</f>
        <v>99</v>
      </c>
      <c r="D26" s="25" t="n">
        <f aca="false">INDEX(Assumptions!$B$62:$B$66,MATCH(Assumptions!C$68,Assumptions!$A$62:$A$66,0))</f>
        <v>990</v>
      </c>
      <c r="E26" s="25" t="n">
        <f aca="false">INDEX(Assumptions!$B$62:$B$66,MATCH(Assumptions!D$68,Assumptions!$A$62:$A$66,0))</f>
        <v>3000</v>
      </c>
      <c r="F26" s="25" t="n">
        <f aca="false">INDEX(Assumptions!$B$62:$B$66,MATCH(Assumptions!E$68,Assumptions!$A$62:$A$66,0))</f>
        <v>3000</v>
      </c>
    </row>
    <row r="27" customFormat="false" ht="15" hidden="false" customHeight="false" outlineLevel="0" collapsed="false">
      <c r="A27" s="24" t="s">
        <v>183</v>
      </c>
      <c r="B27" s="2"/>
      <c r="C27" s="23" t="n">
        <f aca="false">INDEX(Assumptions!$C$62:$C$66,MATCH(Assumptions!B$68,Assumptions!$A$62:$A$66,0))</f>
        <v>600000</v>
      </c>
      <c r="D27" s="23" t="n">
        <f aca="false">INDEX(Assumptions!$C$62:$C$66,MATCH(Assumptions!C$68,Assumptions!$A$62:$A$66,0))</f>
        <v>6000000</v>
      </c>
      <c r="E27" s="23" t="n">
        <f aca="false">INDEX(Assumptions!$C$62:$C$66,MATCH(Assumptions!D$68,Assumptions!$A$62:$A$66,0))</f>
        <v>30000000</v>
      </c>
      <c r="F27" s="23" t="n">
        <f aca="false">INDEX(Assumptions!$C$62:$C$66,MATCH(Assumptions!E$68,Assumptions!$A$62:$A$66,0))</f>
        <v>30000000</v>
      </c>
    </row>
    <row r="28" customFormat="false" ht="15" hidden="false" customHeight="false" outlineLevel="0" collapsed="false">
      <c r="A28" s="24" t="s">
        <v>184</v>
      </c>
      <c r="B28" s="2"/>
      <c r="C28" s="23" t="n">
        <f aca="false">MAX(0,C23-C27)</f>
        <v>602200</v>
      </c>
      <c r="D28" s="23" t="n">
        <f aca="false">MAX(0,D23-D27)</f>
        <v>0</v>
      </c>
      <c r="E28" s="23" t="n">
        <f aca="false">MAX(0,E23-E27)</f>
        <v>0</v>
      </c>
      <c r="F28" s="23" t="n">
        <f aca="false">MAX(0,F23-F27)</f>
        <v>35279600</v>
      </c>
    </row>
    <row r="29" customFormat="false" ht="15" hidden="false" customHeight="false" outlineLevel="0" collapsed="false">
      <c r="A29" s="4" t="s">
        <v>185</v>
      </c>
      <c r="B29" s="2"/>
      <c r="C29" s="26" t="n">
        <f aca="false">C26+C28/1000*Assumptions!B$69</f>
        <v>189.33</v>
      </c>
      <c r="D29" s="26" t="n">
        <f aca="false">D26+D28/1000*Assumptions!C$69</f>
        <v>990</v>
      </c>
      <c r="E29" s="26" t="n">
        <f aca="false">E26+E28/1000*Assumptions!D$69</f>
        <v>3000</v>
      </c>
      <c r="F29" s="26" t="n">
        <f aca="false">F26+F28/1000*Assumptions!E$69</f>
        <v>5116.776</v>
      </c>
    </row>
    <row r="30" customFormat="false" ht="15" hidden="false" customHeight="false" outlineLevel="0" collapsed="false">
      <c r="A30" s="24" t="s">
        <v>186</v>
      </c>
      <c r="B30" s="2"/>
      <c r="C30" s="27" t="n">
        <f aca="false">IF(C23=0,0,C29/C23)</f>
        <v>0.000157486275162203</v>
      </c>
      <c r="D30" s="27" t="n">
        <f aca="false">IF(D23=0,0,D29/D23)</f>
        <v>0.00027229220529182</v>
      </c>
      <c r="E30" s="27" t="n">
        <f aca="false">IF(E23=0,0,E29/E23)</f>
        <v>0.000182234560176889</v>
      </c>
      <c r="F30" s="27" t="n">
        <f aca="false">IF(F23=0,0,F29/F23)</f>
        <v>7.83824655788332E-005</v>
      </c>
    </row>
    <row r="31" customFormat="false" ht="15" hidden="false" customHeight="false" outlineLevel="0" collapsed="false">
      <c r="A31" s="4" t="s">
        <v>187</v>
      </c>
      <c r="B31" s="2"/>
      <c r="C31" s="26" t="n">
        <f aca="false">C14*'Unit Economics'!$C$5+C15*'Unit Economics'!$C$6+C16*'Unit Economics'!$C$7+C17*'Unit Economics'!$C$8+C18*'Unit Economics'!$C$9+C19*'Unit Economics'!$C$10+C20*'Unit Economics'!$C$11</f>
        <v>264.080549031</v>
      </c>
      <c r="D31" s="26" t="n">
        <f aca="false">D14*'Unit Economics'!$C$5+D15*'Unit Economics'!$C$6+D16*'Unit Economics'!$C$7+D17*'Unit Economics'!$C$8+D18*'Unit Economics'!$C$9+D19*'Unit Economics'!$C$10+D20*'Unit Economics'!$C$11</f>
        <v>813.637340187</v>
      </c>
      <c r="E31" s="26" t="n">
        <f aca="false">E14*'Unit Economics'!$C$5+E15*'Unit Economics'!$C$6+E16*'Unit Economics'!$C$7+E17*'Unit Economics'!$C$8+E18*'Unit Economics'!$C$9+E19*'Unit Economics'!$C$10+E20*'Unit Economics'!$C$11</f>
        <v>3688.393115096</v>
      </c>
      <c r="F31" s="26" t="n">
        <f aca="false">F14*'Unit Economics'!$C$5+F15*'Unit Economics'!$C$6+F16*'Unit Economics'!$C$7+F17*'Unit Economics'!$C$8+F18*'Unit Economics'!$C$9+F19*'Unit Economics'!$C$10+F20*'Unit Economics'!$C$11</f>
        <v>14863.475805247</v>
      </c>
    </row>
    <row r="32" customFormat="false" ht="15" hidden="false" customHeight="false" outlineLevel="0" collapsed="false">
      <c r="A32" s="4" t="s">
        <v>188</v>
      </c>
      <c r="B32" s="2"/>
      <c r="C32" s="7" t="n">
        <f aca="false">'Cost Lines'!J18</f>
        <v>199.99</v>
      </c>
      <c r="D32" s="7" t="n">
        <f aca="false">'Cost Lines'!K18</f>
        <v>248.99</v>
      </c>
      <c r="E32" s="7" t="n">
        <f aca="false">'Cost Lines'!L18</f>
        <v>405</v>
      </c>
      <c r="F32" s="7" t="n">
        <f aca="false">'Cost Lines'!M18</f>
        <v>792</v>
      </c>
    </row>
    <row r="33" customFormat="false" ht="15" hidden="false" customHeight="false" outlineLevel="0" collapsed="false">
      <c r="A33" s="28" t="s">
        <v>189</v>
      </c>
      <c r="B33" s="2"/>
      <c r="C33" s="29" t="n">
        <f aca="false">C29+C31+C32</f>
        <v>653.400549031</v>
      </c>
      <c r="D33" s="29" t="n">
        <f aca="false">D29+D31+D32</f>
        <v>2052.627340187</v>
      </c>
      <c r="E33" s="29" t="n">
        <f aca="false">E29+E31+E32</f>
        <v>7093.393115096</v>
      </c>
      <c r="F33" s="29" t="n">
        <f aca="false">F29+F31+F32</f>
        <v>20772.251805247</v>
      </c>
    </row>
    <row r="34" customFormat="false" ht="15" hidden="false" customHeight="false" outlineLevel="0" collapsed="false">
      <c r="A34" s="24" t="s">
        <v>190</v>
      </c>
      <c r="B34" s="2"/>
      <c r="C34" s="15" t="n">
        <f aca="false">IF(C21=0,0,C33/C21)</f>
        <v>5.22302597147082</v>
      </c>
      <c r="D34" s="15" t="n">
        <f aca="false">IF(D21=0,0,D33/D21)</f>
        <v>4.61991298714157</v>
      </c>
      <c r="E34" s="15" t="n">
        <f aca="false">IF(E21=0,0,E33/E21)</f>
        <v>3.11318547952425</v>
      </c>
      <c r="F34" s="15" t="n">
        <f aca="false">IF(F21=0,0,F33/F21)</f>
        <v>2.14390048562772</v>
      </c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</row>
    <row r="36" customFormat="false" ht="15" hidden="false" customHeight="false" outlineLevel="0" collapsed="false">
      <c r="A36" s="4" t="s">
        <v>191</v>
      </c>
      <c r="B36" s="2"/>
      <c r="C36" s="2"/>
      <c r="D36" s="2"/>
      <c r="E36" s="2"/>
      <c r="F36" s="2"/>
    </row>
    <row r="37" customFormat="false" ht="15" hidden="false" customHeight="false" outlineLevel="0" collapsed="false">
      <c r="A37" s="24" t="s">
        <v>22</v>
      </c>
      <c r="B37" s="2"/>
      <c r="C37" s="23" t="n">
        <f aca="false">(C14*Assumptions!$G$41+C15*Assumptions!$G$42+C16*Assumptions!$G$43+C17*Assumptions!$G$44+C18*Assumptions!$G$45+C19*Assumptions!$G$46+C20*Assumptions!$G$47)*Assumptions!B$58</f>
        <v>43024</v>
      </c>
      <c r="D37" s="23" t="n">
        <f aca="false">(D14*Assumptions!$G$41+D15*Assumptions!$G$42+D16*Assumptions!$G$43+D17*Assumptions!$G$44+D18*Assumptions!$G$45+D19*Assumptions!$G$46+D20*Assumptions!$G$47)*Assumptions!C$58</f>
        <v>158928</v>
      </c>
      <c r="E37" s="23" t="n">
        <f aca="false">(E14*Assumptions!$G$41+E15*Assumptions!$G$42+E16*Assumptions!$G$43+E17*Assumptions!$G$44+E18*Assumptions!$G$45+E19*Assumptions!$G$46+E20*Assumptions!$G$47)*Assumptions!D$58</f>
        <v>874337.5</v>
      </c>
      <c r="F37" s="23" t="n">
        <f aca="false">(F14*Assumptions!$G$41+F15*Assumptions!$G$42+F16*Assumptions!$G$43+F17*Assumptions!$G$44+F18*Assumptions!$G$45+F19*Assumptions!$G$46+F20*Assumptions!$G$47)*Assumptions!E$58</f>
        <v>4256910</v>
      </c>
    </row>
    <row r="38" customFormat="false" ht="15" hidden="false" customHeight="false" outlineLevel="0" collapsed="false">
      <c r="A38" s="24" t="s">
        <v>192</v>
      </c>
      <c r="B38" s="2"/>
      <c r="C38" s="25" t="n">
        <f aca="false">(C14*Assumptions!$G$41*Assumptions!$F$41+C15*Assumptions!$G$42*Assumptions!$F$42+C16*Assumptions!$G$43*Assumptions!$F$43+C17*Assumptions!$G$44*Assumptions!$F$44+C18*Assumptions!$G$45*Assumptions!$F$45+C19*Assumptions!$G$46*Assumptions!$F$46+C20*Assumptions!$G$47*Assumptions!$F$47)*Assumptions!B$58/1000*INDEX(Assumptions!$B$73:$D$73,Assumptions!$B$5)*INDEX(Assumptions!$B$74:$D$74,Assumptions!$B$5)*INDEX(Assumptions!$B$75:$D$75,Assumptions!$B$5)</f>
        <v>453.3732</v>
      </c>
      <c r="D38" s="25" t="n">
        <f aca="false">(D14*Assumptions!$G$41*Assumptions!$F$41+D15*Assumptions!$G$42*Assumptions!$F$42+D16*Assumptions!$G$43*Assumptions!$F$43+D17*Assumptions!$G$44*Assumptions!$F$44+D18*Assumptions!$G$45*Assumptions!$F$45+D19*Assumptions!$G$46*Assumptions!$F$46+D20*Assumptions!$G$47*Assumptions!$F$47)*Assumptions!C$58/1000*INDEX(Assumptions!$B$73:$D$73,Assumptions!$B$5)*INDEX(Assumptions!$B$74:$D$74,Assumptions!$B$5)*INDEX(Assumptions!$B$75:$D$75,Assumptions!$B$5)</f>
        <v>1653.3234</v>
      </c>
      <c r="E38" s="25" t="n">
        <f aca="false">(E14*Assumptions!$G$41*Assumptions!$F$41+E15*Assumptions!$G$42*Assumptions!$F$42+E16*Assumptions!$G$43*Assumptions!$F$43+E17*Assumptions!$G$44*Assumptions!$F$44+E18*Assumptions!$G$45*Assumptions!$F$45+E19*Assumptions!$G$46*Assumptions!$F$46+E20*Assumptions!$G$47*Assumptions!$F$47)*Assumptions!D$58/1000*INDEX(Assumptions!$B$73:$D$73,Assumptions!$B$5)*INDEX(Assumptions!$B$74:$D$74,Assumptions!$B$5)*INDEX(Assumptions!$B$75:$D$75,Assumptions!$B$5)</f>
        <v>9312.165</v>
      </c>
      <c r="F38" s="25" t="n">
        <f aca="false">(F14*Assumptions!$G$41*Assumptions!$F$41+F15*Assumptions!$G$42*Assumptions!$F$42+F16*Assumptions!$G$43*Assumptions!$F$43+F17*Assumptions!$G$44*Assumptions!$F$44+F18*Assumptions!$G$45*Assumptions!$F$45+F19*Assumptions!$G$46*Assumptions!$F$46+F20*Assumptions!$G$47*Assumptions!$F$47)*Assumptions!E$58/1000*INDEX(Assumptions!$B$73:$D$73,Assumptions!$B$5)*INDEX(Assumptions!$B$74:$D$74,Assumptions!$B$5)*INDEX(Assumptions!$B$75:$D$75,Assumptions!$B$5)</f>
        <v>44323.524</v>
      </c>
    </row>
    <row r="39" customFormat="false" ht="15" hidden="false" customHeight="false" outlineLevel="0" collapsed="false">
      <c r="A39" s="24" t="s">
        <v>193</v>
      </c>
      <c r="B39" s="2"/>
      <c r="C39" s="25" t="n">
        <f aca="false">(C5+C7)*Assumptions!B$85*INDEX(Assumptions!$B$76:$D$76,Assumptions!$B$5)</f>
        <v>562.5</v>
      </c>
      <c r="D39" s="25" t="n">
        <f aca="false">(D5+D7)*Assumptions!C$85*INDEX(Assumptions!$B$76:$D$76,Assumptions!$B$5)</f>
        <v>3375</v>
      </c>
      <c r="E39" s="25" t="n">
        <f aca="false">(E5+E7)*Assumptions!D$85*INDEX(Assumptions!$B$76:$D$76,Assumptions!$B$5)</f>
        <v>26250</v>
      </c>
      <c r="F39" s="25" t="n">
        <f aca="false">(F5+F7)*Assumptions!E$85*INDEX(Assumptions!$B$76:$D$76,Assumptions!$B$5)</f>
        <v>146250</v>
      </c>
    </row>
    <row r="40" customFormat="false" ht="15" hidden="false" customHeight="false" outlineLevel="0" collapsed="false">
      <c r="A40" s="24" t="s">
        <v>194</v>
      </c>
      <c r="B40" s="2"/>
      <c r="C40" s="25" t="n">
        <f aca="false">Assumptions!B$86*INDEX(Assumptions!$B$77:$D$77,Assumptions!$B$5)</f>
        <v>0</v>
      </c>
      <c r="D40" s="25" t="n">
        <f aca="false">Assumptions!C$86*INDEX(Assumptions!$B$77:$D$77,Assumptions!$B$5)</f>
        <v>2000</v>
      </c>
      <c r="E40" s="25" t="n">
        <f aca="false">Assumptions!D$86*INDEX(Assumptions!$B$77:$D$77,Assumptions!$B$5)</f>
        <v>10000</v>
      </c>
      <c r="F40" s="25" t="n">
        <f aca="false">Assumptions!E$86*INDEX(Assumptions!$B$77:$D$77,Assumptions!$B$5)</f>
        <v>40000</v>
      </c>
    </row>
    <row r="41" customFormat="false" ht="15" hidden="false" customHeight="false" outlineLevel="0" collapsed="false">
      <c r="A41" s="24" t="s">
        <v>195</v>
      </c>
      <c r="B41" s="2"/>
      <c r="C41" s="25" t="n">
        <f aca="false">Assumptions!B$87*INDEX(Assumptions!$B$78:$D$78,Assumptions!$B$5)</f>
        <v>0</v>
      </c>
      <c r="D41" s="25" t="n">
        <f aca="false">Assumptions!C$87*INDEX(Assumptions!$B$78:$D$78,Assumptions!$B$5)</f>
        <v>0</v>
      </c>
      <c r="E41" s="25" t="n">
        <f aca="false">Assumptions!D$87*INDEX(Assumptions!$B$78:$D$78,Assumptions!$B$5)</f>
        <v>4500</v>
      </c>
      <c r="F41" s="25" t="n">
        <f aca="false">Assumptions!E$87*INDEX(Assumptions!$B$78:$D$78,Assumptions!$B$5)</f>
        <v>22500</v>
      </c>
    </row>
    <row r="42" customFormat="false" ht="15" hidden="false" customHeight="false" outlineLevel="0" collapsed="false">
      <c r="A42" s="24" t="s">
        <v>196</v>
      </c>
      <c r="B42" s="2"/>
      <c r="C42" s="25" t="n">
        <f aca="false">Assumptions!B$88*INDEX(Assumptions!$B$79:$D$79,Assumptions!$B$5)</f>
        <v>3000</v>
      </c>
      <c r="D42" s="25" t="n">
        <f aca="false">Assumptions!C$88*INDEX(Assumptions!$B$79:$D$79,Assumptions!$B$5)</f>
        <v>6000</v>
      </c>
      <c r="E42" s="25" t="n">
        <f aca="false">Assumptions!D$88*INDEX(Assumptions!$B$79:$D$79,Assumptions!$B$5)</f>
        <v>9000</v>
      </c>
      <c r="F42" s="25" t="n">
        <f aca="false">Assumptions!E$88*INDEX(Assumptions!$B$79:$D$79,Assumptions!$B$5)</f>
        <v>12000</v>
      </c>
    </row>
    <row r="43" customFormat="false" ht="15" hidden="false" customHeight="false" outlineLevel="0" collapsed="false">
      <c r="A43" s="24" t="s">
        <v>197</v>
      </c>
      <c r="B43" s="2"/>
      <c r="C43" s="25" t="n">
        <f aca="false">Assumptions!B$89*INDEX(Assumptions!$B$80:$D$80,Assumptions!$B$5)*Assumptions!$B$81</f>
        <v>0</v>
      </c>
      <c r="D43" s="25" t="n">
        <f aca="false">Assumptions!C$89*INDEX(Assumptions!$B$80:$D$80,Assumptions!$B$5)*Assumptions!$B$81</f>
        <v>175</v>
      </c>
      <c r="E43" s="25" t="n">
        <f aca="false">Assumptions!D$89*INDEX(Assumptions!$B$80:$D$80,Assumptions!$B$5)*Assumptions!$B$81</f>
        <v>1750</v>
      </c>
      <c r="F43" s="25" t="n">
        <f aca="false">Assumptions!E$89*INDEX(Assumptions!$B$80:$D$80,Assumptions!$B$5)*Assumptions!$B$81</f>
        <v>10500</v>
      </c>
    </row>
    <row r="44" customFormat="false" ht="15" hidden="false" customHeight="false" outlineLevel="0" collapsed="false">
      <c r="A44" s="28" t="s">
        <v>198</v>
      </c>
      <c r="B44" s="2"/>
      <c r="C44" s="29" t="n">
        <f aca="false">SUM(C38:C43)</f>
        <v>4015.8732</v>
      </c>
      <c r="D44" s="29" t="n">
        <f aca="false">SUM(D38:D43)</f>
        <v>13203.3234</v>
      </c>
      <c r="E44" s="29" t="n">
        <f aca="false">SUM(E38:E43)</f>
        <v>60812.165</v>
      </c>
      <c r="F44" s="29" t="n">
        <f aca="false">SUM(F38:F43)</f>
        <v>275573.524</v>
      </c>
    </row>
    <row r="45" customFormat="false" ht="15" hidden="false" customHeight="false" outlineLevel="0" collapsed="false">
      <c r="A45" s="28" t="s">
        <v>199</v>
      </c>
      <c r="B45" s="2"/>
      <c r="C45" s="29" t="n">
        <f aca="false">C44-C33</f>
        <v>3362.472650969</v>
      </c>
      <c r="D45" s="29" t="n">
        <f aca="false">D44-D33</f>
        <v>11150.696059813</v>
      </c>
      <c r="E45" s="29" t="n">
        <f aca="false">E44-E33</f>
        <v>53718.771884904</v>
      </c>
      <c r="F45" s="29" t="n">
        <f aca="false">F44-F33</f>
        <v>254801.272194753</v>
      </c>
    </row>
    <row r="46" customFormat="false" ht="15" hidden="false" customHeight="false" outlineLevel="0" collapsed="false">
      <c r="A46" s="24" t="s">
        <v>200</v>
      </c>
      <c r="B46" s="2"/>
      <c r="C46" s="30" t="n">
        <f aca="false">IF(C44=0,0,C45/C44)</f>
        <v>0.837295522918652</v>
      </c>
      <c r="D46" s="30" t="n">
        <f aca="false">IF(D44=0,0,D45/D44)</f>
        <v>0.844537070099563</v>
      </c>
      <c r="E46" s="30" t="n">
        <f aca="false">IF(E44=0,0,E45/E44)</f>
        <v>0.883355688535411</v>
      </c>
      <c r="F46" s="30" t="n">
        <f aca="false">IF(F44=0,0,F45/F44)</f>
        <v>0.92462174339634</v>
      </c>
    </row>
    <row r="47" customFormat="false" ht="15" hidden="false" customHeight="false" outlineLevel="0" collapsed="false">
      <c r="A47" s="24" t="s">
        <v>201</v>
      </c>
      <c r="B47" s="2"/>
      <c r="C47" s="30" t="n">
        <f aca="false">IF(C44=0,0,C38/C44)</f>
        <v>0.112895297590571</v>
      </c>
      <c r="D47" s="30" t="n">
        <f aca="false">IF(D44=0,0,D38/D44)</f>
        <v>0.125220245684507</v>
      </c>
      <c r="E47" s="30" t="n">
        <f aca="false">IF(E44=0,0,E38/E44)</f>
        <v>0.153129969965713</v>
      </c>
      <c r="F47" s="30" t="n">
        <f aca="false">IF(F44=0,0,F38/F44)</f>
        <v>0.160841010256123</v>
      </c>
    </row>
    <row r="48" customFormat="false" ht="15" hidden="false" customHeight="false" outlineLevel="0" collapsed="false">
      <c r="A48" s="4" t="s">
        <v>202</v>
      </c>
      <c r="B48" s="2"/>
      <c r="C48" s="26" t="n">
        <f aca="false">C45*12</f>
        <v>40349.671811628</v>
      </c>
      <c r="D48" s="26" t="n">
        <f aca="false">D45*12</f>
        <v>133808.352717756</v>
      </c>
      <c r="E48" s="26" t="n">
        <f aca="false">E45*12</f>
        <v>644625.262618848</v>
      </c>
      <c r="F48" s="26" t="n">
        <f aca="false">F45*12</f>
        <v>3057615.26633704</v>
      </c>
    </row>
    <row r="49" customFormat="false" ht="15" hidden="false" customHeight="false" outlineLevel="0" collapsed="false">
      <c r="A49" s="24" t="s">
        <v>203</v>
      </c>
      <c r="B49" s="2"/>
      <c r="C49" s="25" t="n">
        <f aca="false">C38+C39+C43</f>
        <v>1015.8732</v>
      </c>
      <c r="D49" s="25" t="n">
        <f aca="false">D38+D39+D43</f>
        <v>5203.3234</v>
      </c>
      <c r="E49" s="25" t="n">
        <f aca="false">E38+E39+E43</f>
        <v>37312.165</v>
      </c>
      <c r="F49" s="25" t="n">
        <f aca="false">F38+F39+F43</f>
        <v>201073.524</v>
      </c>
    </row>
    <row r="50" customFormat="false" ht="15" hidden="false" customHeight="false" outlineLevel="0" collapsed="false">
      <c r="A50" s="28" t="s">
        <v>204</v>
      </c>
      <c r="B50" s="2"/>
      <c r="C50" s="29" t="n">
        <f aca="false">C49-C33</f>
        <v>362.472650969</v>
      </c>
      <c r="D50" s="29" t="n">
        <f aca="false">D49-D33</f>
        <v>3150.696059813</v>
      </c>
      <c r="E50" s="29" t="n">
        <f aca="false">E49-E33</f>
        <v>30218.771884904</v>
      </c>
      <c r="F50" s="29" t="n">
        <f aca="false">F49-F33</f>
        <v>180301.272194753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8" min="6" style="0" width="9"/>
    <col collapsed="false" customWidth="true" hidden="false" outlineLevel="0" max="9" min="9" style="0" width="11"/>
    <col collapsed="false" customWidth="true" hidden="false" outlineLevel="0" max="12" min="10" style="0" width="13"/>
    <col collapsed="false" customWidth="true" hidden="false" outlineLevel="0" max="13" min="13" style="0" width="15"/>
    <col collapsed="false" customWidth="true" hidden="false" outlineLevel="0" max="14" min="14" style="0" width="54"/>
  </cols>
  <sheetData>
    <row r="1" customFormat="false" ht="17.35" hidden="false" customHeight="false" outlineLevel="0" collapsed="false">
      <c r="A1" s="1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206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26.85" hidden="false" customHeight="false" outlineLevel="0" collapsed="false">
      <c r="A4" s="5" t="s">
        <v>207</v>
      </c>
      <c r="B4" s="5" t="s">
        <v>208</v>
      </c>
      <c r="C4" s="5" t="s">
        <v>209</v>
      </c>
      <c r="D4" s="5" t="s">
        <v>210</v>
      </c>
      <c r="E4" s="5" t="s">
        <v>211</v>
      </c>
      <c r="F4" s="5" t="s">
        <v>212</v>
      </c>
      <c r="G4" s="5" t="s">
        <v>213</v>
      </c>
      <c r="H4" s="5" t="s">
        <v>214</v>
      </c>
      <c r="I4" s="5" t="s">
        <v>215</v>
      </c>
      <c r="J4" s="5" t="s">
        <v>216</v>
      </c>
      <c r="K4" s="5" t="s">
        <v>217</v>
      </c>
      <c r="L4" s="5" t="s">
        <v>218</v>
      </c>
      <c r="M4" s="5" t="s">
        <v>219</v>
      </c>
      <c r="N4" s="2"/>
    </row>
    <row r="5" customFormat="false" ht="15" hidden="false" customHeight="false" outlineLevel="0" collapsed="false">
      <c r="A5" s="2" t="s">
        <v>220</v>
      </c>
      <c r="B5" s="2" t="s">
        <v>221</v>
      </c>
      <c r="C5" s="2" t="s">
        <v>222</v>
      </c>
      <c r="D5" s="2" t="s">
        <v>223</v>
      </c>
      <c r="E5" s="2"/>
      <c r="F5" s="2"/>
      <c r="G5" s="2"/>
      <c r="H5" s="2"/>
      <c r="I5" s="2"/>
      <c r="J5" s="7" t="n">
        <f aca="false">Scenarios!C31</f>
        <v>264.080549031</v>
      </c>
      <c r="K5" s="7" t="n">
        <f aca="false">Scenarios!D31</f>
        <v>813.637340187</v>
      </c>
      <c r="L5" s="7" t="n">
        <f aca="false">Scenarios!E31</f>
        <v>3688.393115096</v>
      </c>
      <c r="M5" s="7" t="n">
        <f aca="false">Scenarios!F31</f>
        <v>14863.475805247</v>
      </c>
      <c r="N5" s="2" t="s">
        <v>224</v>
      </c>
    </row>
    <row r="6" customFormat="false" ht="15" hidden="false" customHeight="false" outlineLevel="0" collapsed="false">
      <c r="A6" s="2" t="s">
        <v>220</v>
      </c>
      <c r="B6" s="2" t="s">
        <v>225</v>
      </c>
      <c r="C6" s="2" t="s">
        <v>222</v>
      </c>
      <c r="D6" s="2" t="s">
        <v>223</v>
      </c>
      <c r="E6" s="2"/>
      <c r="F6" s="2"/>
      <c r="G6" s="2"/>
      <c r="H6" s="2"/>
      <c r="I6" s="2"/>
      <c r="J6" s="7" t="n">
        <f aca="false">Scenarios!C29</f>
        <v>189.33</v>
      </c>
      <c r="K6" s="7" t="n">
        <f aca="false">Scenarios!D29</f>
        <v>990</v>
      </c>
      <c r="L6" s="7" t="n">
        <f aca="false">Scenarios!E29</f>
        <v>3000</v>
      </c>
      <c r="M6" s="7" t="n">
        <f aca="false">Scenarios!F29</f>
        <v>5116.776</v>
      </c>
      <c r="N6" s="2" t="s">
        <v>224</v>
      </c>
    </row>
    <row r="7" customFormat="false" ht="15" hidden="false" customHeight="false" outlineLevel="0" collapsed="false">
      <c r="A7" s="2" t="s">
        <v>226</v>
      </c>
      <c r="B7" s="2" t="s">
        <v>227</v>
      </c>
      <c r="C7" s="2" t="s">
        <v>228</v>
      </c>
      <c r="D7" s="2" t="s">
        <v>229</v>
      </c>
      <c r="E7" s="13" t="n">
        <v>49</v>
      </c>
      <c r="F7" s="10" t="n">
        <v>1</v>
      </c>
      <c r="G7" s="10" t="n">
        <v>2</v>
      </c>
      <c r="H7" s="10" t="n">
        <v>4</v>
      </c>
      <c r="I7" s="10" t="n">
        <v>10</v>
      </c>
      <c r="J7" s="25" t="n">
        <f aca="false">$E7*F7</f>
        <v>49</v>
      </c>
      <c r="K7" s="25" t="n">
        <f aca="false">$E7*G7</f>
        <v>98</v>
      </c>
      <c r="L7" s="25" t="n">
        <f aca="false">$E7*H7</f>
        <v>196</v>
      </c>
      <c r="M7" s="25" t="n">
        <f aca="false">$E7*I7</f>
        <v>490</v>
      </c>
      <c r="N7" s="2" t="s">
        <v>230</v>
      </c>
    </row>
    <row r="8" customFormat="false" ht="15" hidden="false" customHeight="false" outlineLevel="0" collapsed="false">
      <c r="A8" s="2" t="s">
        <v>231</v>
      </c>
      <c r="B8" s="2" t="s">
        <v>232</v>
      </c>
      <c r="C8" s="2" t="s">
        <v>233</v>
      </c>
      <c r="D8" s="2" t="s">
        <v>229</v>
      </c>
      <c r="E8" s="13" t="n">
        <v>78</v>
      </c>
      <c r="F8" s="10" t="n">
        <v>1</v>
      </c>
      <c r="G8" s="10" t="n">
        <v>1</v>
      </c>
      <c r="H8" s="10" t="n">
        <v>2</v>
      </c>
      <c r="I8" s="10" t="n">
        <v>3</v>
      </c>
      <c r="J8" s="25" t="n">
        <f aca="false">$E8*F8</f>
        <v>78</v>
      </c>
      <c r="K8" s="25" t="n">
        <f aca="false">$E8*G8</f>
        <v>78</v>
      </c>
      <c r="L8" s="25" t="n">
        <f aca="false">$E8*H8</f>
        <v>156</v>
      </c>
      <c r="M8" s="25" t="n">
        <f aca="false">$E8*I8</f>
        <v>234</v>
      </c>
      <c r="N8" s="2" t="s">
        <v>234</v>
      </c>
    </row>
    <row r="9" customFormat="false" ht="15" hidden="false" customHeight="false" outlineLevel="0" collapsed="false">
      <c r="A9" s="2" t="s">
        <v>235</v>
      </c>
      <c r="B9" s="2" t="s">
        <v>236</v>
      </c>
      <c r="C9" s="2" t="s">
        <v>237</v>
      </c>
      <c r="D9" s="2" t="s">
        <v>229</v>
      </c>
      <c r="E9" s="13" t="n">
        <v>0</v>
      </c>
      <c r="F9" s="10" t="n">
        <v>1</v>
      </c>
      <c r="G9" s="10" t="n">
        <v>1</v>
      </c>
      <c r="H9" s="10" t="n">
        <v>1</v>
      </c>
      <c r="I9" s="10" t="n">
        <v>1</v>
      </c>
      <c r="J9" s="25" t="n">
        <f aca="false">$E9*F9</f>
        <v>0</v>
      </c>
      <c r="K9" s="25" t="n">
        <f aca="false">$E9*G9</f>
        <v>0</v>
      </c>
      <c r="L9" s="25" t="n">
        <f aca="false">$E9*H9</f>
        <v>0</v>
      </c>
      <c r="M9" s="25" t="n">
        <f aca="false">$E9*I9</f>
        <v>0</v>
      </c>
      <c r="N9" s="2" t="s">
        <v>238</v>
      </c>
    </row>
    <row r="10" customFormat="false" ht="15" hidden="false" customHeight="false" outlineLevel="0" collapsed="false">
      <c r="A10" s="2" t="s">
        <v>235</v>
      </c>
      <c r="B10" s="2" t="s">
        <v>239</v>
      </c>
      <c r="C10" s="2" t="s">
        <v>240</v>
      </c>
      <c r="D10" s="2" t="s">
        <v>229</v>
      </c>
      <c r="E10" s="13" t="n">
        <v>0</v>
      </c>
      <c r="F10" s="10" t="n">
        <v>1</v>
      </c>
      <c r="G10" s="10" t="n">
        <v>1</v>
      </c>
      <c r="H10" s="10" t="n">
        <v>1</v>
      </c>
      <c r="I10" s="10" t="n">
        <v>1</v>
      </c>
      <c r="J10" s="25" t="n">
        <f aca="false">$E10*F10</f>
        <v>0</v>
      </c>
      <c r="K10" s="25" t="n">
        <f aca="false">$E10*G10</f>
        <v>0</v>
      </c>
      <c r="L10" s="25" t="n">
        <f aca="false">$E10*H10</f>
        <v>0</v>
      </c>
      <c r="M10" s="25" t="n">
        <f aca="false">$E10*I10</f>
        <v>0</v>
      </c>
      <c r="N10" s="2" t="s">
        <v>241</v>
      </c>
    </row>
    <row r="11" customFormat="false" ht="15" hidden="false" customHeight="false" outlineLevel="0" collapsed="false">
      <c r="A11" s="2" t="s">
        <v>235</v>
      </c>
      <c r="B11" s="2" t="s">
        <v>242</v>
      </c>
      <c r="C11" s="2" t="s">
        <v>243</v>
      </c>
      <c r="D11" s="2" t="s">
        <v>229</v>
      </c>
      <c r="E11" s="13" t="n">
        <v>0</v>
      </c>
      <c r="F11" s="10" t="n">
        <v>0</v>
      </c>
      <c r="G11" s="10" t="n">
        <v>20</v>
      </c>
      <c r="H11" s="10" t="n">
        <v>150</v>
      </c>
      <c r="I11" s="10" t="n">
        <v>800</v>
      </c>
      <c r="J11" s="25" t="n">
        <f aca="false">$E11*F11</f>
        <v>0</v>
      </c>
      <c r="K11" s="25" t="n">
        <f aca="false">$E11*G11</f>
        <v>0</v>
      </c>
      <c r="L11" s="25" t="n">
        <f aca="false">$E11*H11</f>
        <v>0</v>
      </c>
      <c r="M11" s="25" t="n">
        <f aca="false">$E11*I11</f>
        <v>0</v>
      </c>
      <c r="N11" s="2" t="s">
        <v>244</v>
      </c>
    </row>
    <row r="12" customFormat="false" ht="15" hidden="false" customHeight="false" outlineLevel="0" collapsed="false">
      <c r="A12" s="2" t="s">
        <v>245</v>
      </c>
      <c r="B12" s="2" t="s">
        <v>246</v>
      </c>
      <c r="C12" s="2" t="s">
        <v>247</v>
      </c>
      <c r="D12" s="2" t="s">
        <v>229</v>
      </c>
      <c r="E12" s="13" t="n">
        <v>0</v>
      </c>
      <c r="F12" s="10" t="n">
        <v>0</v>
      </c>
      <c r="G12" s="10" t="n">
        <v>100</v>
      </c>
      <c r="H12" s="10" t="n">
        <v>500</v>
      </c>
      <c r="I12" s="10" t="n">
        <v>2000</v>
      </c>
      <c r="J12" s="25" t="n">
        <f aca="false">$E12*F12</f>
        <v>0</v>
      </c>
      <c r="K12" s="25" t="n">
        <f aca="false">$E12*G12</f>
        <v>0</v>
      </c>
      <c r="L12" s="25" t="n">
        <f aca="false">$E12*H12</f>
        <v>0</v>
      </c>
      <c r="M12" s="25" t="n">
        <f aca="false">$E12*I12</f>
        <v>0</v>
      </c>
      <c r="N12" s="2" t="s">
        <v>248</v>
      </c>
    </row>
    <row r="13" customFormat="false" ht="15" hidden="false" customHeight="false" outlineLevel="0" collapsed="false">
      <c r="A13" s="2" t="s">
        <v>249</v>
      </c>
      <c r="B13" s="2" t="s">
        <v>250</v>
      </c>
      <c r="C13" s="2" t="s">
        <v>251</v>
      </c>
      <c r="D13" s="2" t="s">
        <v>229</v>
      </c>
      <c r="E13" s="13" t="n">
        <v>19.99</v>
      </c>
      <c r="F13" s="10" t="n">
        <v>1</v>
      </c>
      <c r="G13" s="10" t="n">
        <v>1</v>
      </c>
      <c r="H13" s="10" t="n">
        <v>0</v>
      </c>
      <c r="I13" s="10" t="n">
        <v>0</v>
      </c>
      <c r="J13" s="25" t="n">
        <f aca="false">$E13*F13</f>
        <v>19.99</v>
      </c>
      <c r="K13" s="25" t="n">
        <f aca="false">$E13*G13</f>
        <v>19.99</v>
      </c>
      <c r="L13" s="25" t="n">
        <f aca="false">$E13*H13</f>
        <v>0</v>
      </c>
      <c r="M13" s="25" t="n">
        <f aca="false">$E13*I13</f>
        <v>0</v>
      </c>
      <c r="N13" s="2" t="s">
        <v>252</v>
      </c>
    </row>
    <row r="14" customFormat="false" ht="15" hidden="false" customHeight="false" outlineLevel="0" collapsed="false">
      <c r="A14" s="2" t="s">
        <v>253</v>
      </c>
      <c r="B14" s="2" t="s">
        <v>254</v>
      </c>
      <c r="C14" s="2" t="s">
        <v>255</v>
      </c>
      <c r="D14" s="2" t="s">
        <v>229</v>
      </c>
      <c r="E14" s="13" t="n">
        <v>8</v>
      </c>
      <c r="F14" s="10" t="n">
        <v>1</v>
      </c>
      <c r="G14" s="10" t="n">
        <v>1</v>
      </c>
      <c r="H14" s="10" t="n">
        <v>1</v>
      </c>
      <c r="I14" s="10" t="n">
        <v>1</v>
      </c>
      <c r="J14" s="25" t="n">
        <f aca="false">$E14*F14</f>
        <v>8</v>
      </c>
      <c r="K14" s="25" t="n">
        <f aca="false">$E14*G14</f>
        <v>8</v>
      </c>
      <c r="L14" s="25" t="n">
        <f aca="false">$E14*H14</f>
        <v>8</v>
      </c>
      <c r="M14" s="25" t="n">
        <f aca="false">$E14*I14</f>
        <v>8</v>
      </c>
      <c r="N14" s="2" t="s">
        <v>256</v>
      </c>
    </row>
    <row r="15" customFormat="false" ht="15" hidden="false" customHeight="false" outlineLevel="0" collapsed="false">
      <c r="A15" s="2" t="s">
        <v>253</v>
      </c>
      <c r="B15" s="2" t="s">
        <v>257</v>
      </c>
      <c r="C15" s="2" t="s">
        <v>258</v>
      </c>
      <c r="D15" s="2" t="s">
        <v>229</v>
      </c>
      <c r="E15" s="13" t="n">
        <v>30</v>
      </c>
      <c r="F15" s="10" t="n">
        <v>1</v>
      </c>
      <c r="G15" s="10" t="n">
        <v>1</v>
      </c>
      <c r="H15" s="10" t="n">
        <v>1</v>
      </c>
      <c r="I15" s="10" t="n">
        <v>1</v>
      </c>
      <c r="J15" s="25" t="n">
        <f aca="false">$E15*F15</f>
        <v>30</v>
      </c>
      <c r="K15" s="25" t="n">
        <f aca="false">$E15*G15</f>
        <v>30</v>
      </c>
      <c r="L15" s="25" t="n">
        <f aca="false">$E15*H15</f>
        <v>30</v>
      </c>
      <c r="M15" s="25" t="n">
        <f aca="false">$E15*I15</f>
        <v>30</v>
      </c>
      <c r="N15" s="2" t="s">
        <v>256</v>
      </c>
    </row>
    <row r="16" customFormat="false" ht="15" hidden="false" customHeight="false" outlineLevel="0" collapsed="false">
      <c r="A16" s="2" t="s">
        <v>253</v>
      </c>
      <c r="B16" s="2" t="s">
        <v>259</v>
      </c>
      <c r="C16" s="2" t="s">
        <v>260</v>
      </c>
      <c r="D16" s="2" t="s">
        <v>229</v>
      </c>
      <c r="E16" s="13" t="n">
        <v>15</v>
      </c>
      <c r="F16" s="10" t="n">
        <v>1</v>
      </c>
      <c r="G16" s="10" t="n">
        <v>1</v>
      </c>
      <c r="H16" s="10" t="n">
        <v>1</v>
      </c>
      <c r="I16" s="10" t="n">
        <v>2</v>
      </c>
      <c r="J16" s="25" t="n">
        <f aca="false">$E16*F16</f>
        <v>15</v>
      </c>
      <c r="K16" s="25" t="n">
        <f aca="false">$E16*G16</f>
        <v>15</v>
      </c>
      <c r="L16" s="25" t="n">
        <f aca="false">$E16*H16</f>
        <v>15</v>
      </c>
      <c r="M16" s="25" t="n">
        <f aca="false">$E16*I16</f>
        <v>30</v>
      </c>
      <c r="N16" s="2" t="s">
        <v>256</v>
      </c>
    </row>
    <row r="17" customFormat="false" ht="15" hidden="false" customHeight="false" outlineLevel="0" collapsed="false">
      <c r="A17" s="2" t="s">
        <v>261</v>
      </c>
      <c r="B17" s="2" t="s">
        <v>262</v>
      </c>
      <c r="C17" s="2" t="s">
        <v>263</v>
      </c>
      <c r="D17" s="2" t="s">
        <v>229</v>
      </c>
      <c r="E17" s="13" t="n">
        <v>0</v>
      </c>
      <c r="F17" s="10" t="n">
        <v>0</v>
      </c>
      <c r="G17" s="10" t="n">
        <v>0</v>
      </c>
      <c r="H17" s="10" t="n">
        <v>2000</v>
      </c>
      <c r="I17" s="10" t="n">
        <v>8000</v>
      </c>
      <c r="J17" s="25" t="n">
        <f aca="false">$E17*F17</f>
        <v>0</v>
      </c>
      <c r="K17" s="25" t="n">
        <f aca="false">$E17*G17</f>
        <v>0</v>
      </c>
      <c r="L17" s="25" t="n">
        <f aca="false">$E17*H17</f>
        <v>0</v>
      </c>
      <c r="M17" s="25" t="n">
        <f aca="false">$E17*I17</f>
        <v>0</v>
      </c>
      <c r="N17" s="2" t="s">
        <v>264</v>
      </c>
    </row>
    <row r="18" customFormat="false" ht="15" hidden="false" customHeight="false" outlineLevel="0" collapsed="false">
      <c r="A18" s="2"/>
      <c r="B18" s="4" t="s">
        <v>265</v>
      </c>
      <c r="C18" s="2"/>
      <c r="D18" s="2"/>
      <c r="E18" s="2"/>
      <c r="F18" s="2"/>
      <c r="G18" s="2"/>
      <c r="H18" s="2"/>
      <c r="I18" s="2"/>
      <c r="J18" s="26" t="n">
        <f aca="false">SUM(J7:J17)</f>
        <v>199.99</v>
      </c>
      <c r="K18" s="26" t="n">
        <f aca="false">SUM(K7:K17)</f>
        <v>248.99</v>
      </c>
      <c r="L18" s="26" t="n">
        <f aca="false">SUM(L7:L17)</f>
        <v>405</v>
      </c>
      <c r="M18" s="26" t="n">
        <f aca="false">SUM(M7:M17)</f>
        <v>792</v>
      </c>
      <c r="N18" s="2"/>
    </row>
    <row r="19" customFormat="false" ht="15" hidden="false" customHeight="false" outlineLevel="0" collapsed="false">
      <c r="A19" s="2"/>
      <c r="B19" s="4" t="s">
        <v>266</v>
      </c>
      <c r="C19" s="2"/>
      <c r="D19" s="2"/>
      <c r="E19" s="2"/>
      <c r="F19" s="2"/>
      <c r="G19" s="2"/>
      <c r="H19" s="2"/>
      <c r="I19" s="2"/>
      <c r="J19" s="29" t="n">
        <f aca="false">SUM(J5:J6)+J18</f>
        <v>653.400549031</v>
      </c>
      <c r="K19" s="29" t="n">
        <f aca="false">SUM(K5:K6)+K18</f>
        <v>2052.627340187</v>
      </c>
      <c r="L19" s="29" t="n">
        <f aca="false">SUM(L5:L6)+L18</f>
        <v>7093.393115096</v>
      </c>
      <c r="M19" s="29" t="n">
        <f aca="false">SUM(M5:M6)+M18</f>
        <v>20772.251805247</v>
      </c>
      <c r="N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5" hidden="false" customHeight="false" outlineLevel="0" collapsed="false">
      <c r="A21" s="4" t="s">
        <v>267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false" outlineLevel="0" collapsed="false">
      <c r="A22" s="5" t="s">
        <v>207</v>
      </c>
      <c r="B22" s="5" t="s">
        <v>208</v>
      </c>
      <c r="C22" s="5"/>
      <c r="D22" s="5"/>
      <c r="E22" s="5" t="s">
        <v>268</v>
      </c>
      <c r="F22" s="5"/>
      <c r="G22" s="5"/>
      <c r="H22" s="5"/>
      <c r="I22" s="5"/>
      <c r="J22" s="5"/>
      <c r="K22" s="5"/>
      <c r="L22" s="5"/>
      <c r="M22" s="5" t="s">
        <v>269</v>
      </c>
      <c r="N22" s="2"/>
    </row>
    <row r="23" customFormat="false" ht="15" hidden="false" customHeight="false" outlineLevel="0" collapsed="false">
      <c r="A23" s="2" t="s">
        <v>270</v>
      </c>
      <c r="B23" s="2" t="s">
        <v>271</v>
      </c>
      <c r="C23" s="2"/>
      <c r="D23" s="2"/>
      <c r="E23" s="20" t="n">
        <v>1500</v>
      </c>
      <c r="F23" s="2"/>
      <c r="G23" s="2"/>
      <c r="H23" s="2"/>
      <c r="I23" s="2"/>
      <c r="J23" s="2"/>
      <c r="K23" s="2"/>
      <c r="L23" s="2"/>
      <c r="M23" s="2" t="s">
        <v>272</v>
      </c>
      <c r="N23" s="2"/>
    </row>
    <row r="24" customFormat="false" ht="15" hidden="false" customHeight="false" outlineLevel="0" collapsed="false">
      <c r="A24" s="2" t="s">
        <v>270</v>
      </c>
      <c r="B24" s="2" t="s">
        <v>273</v>
      </c>
      <c r="C24" s="2"/>
      <c r="D24" s="2"/>
      <c r="E24" s="20" t="n">
        <v>700</v>
      </c>
      <c r="F24" s="2"/>
      <c r="G24" s="2"/>
      <c r="H24" s="2"/>
      <c r="I24" s="2"/>
      <c r="J24" s="2"/>
      <c r="K24" s="2"/>
      <c r="L24" s="2"/>
      <c r="M24" s="2" t="s">
        <v>274</v>
      </c>
      <c r="N24" s="2"/>
    </row>
    <row r="25" customFormat="false" ht="15" hidden="false" customHeight="false" outlineLevel="0" collapsed="false">
      <c r="A25" s="2" t="s">
        <v>270</v>
      </c>
      <c r="B25" s="2" t="s">
        <v>275</v>
      </c>
      <c r="C25" s="2"/>
      <c r="D25" s="2"/>
      <c r="E25" s="20" t="n">
        <v>50</v>
      </c>
      <c r="F25" s="2"/>
      <c r="G25" s="2"/>
      <c r="H25" s="2"/>
      <c r="I25" s="2"/>
      <c r="J25" s="2"/>
      <c r="K25" s="2"/>
      <c r="L25" s="2"/>
      <c r="M25" s="2" t="s">
        <v>276</v>
      </c>
      <c r="N25" s="2"/>
    </row>
    <row r="26" customFormat="false" ht="15" hidden="false" customHeight="false" outlineLevel="0" collapsed="false">
      <c r="A26" s="2" t="s">
        <v>277</v>
      </c>
      <c r="B26" s="2" t="s">
        <v>278</v>
      </c>
      <c r="C26" s="2"/>
      <c r="D26" s="2"/>
      <c r="E26" s="20" t="n">
        <v>500</v>
      </c>
      <c r="F26" s="2"/>
      <c r="G26" s="2"/>
      <c r="H26" s="2"/>
      <c r="I26" s="2"/>
      <c r="J26" s="2"/>
      <c r="K26" s="2"/>
      <c r="L26" s="2"/>
      <c r="M26" s="2" t="s">
        <v>256</v>
      </c>
      <c r="N26" s="2"/>
    </row>
    <row r="27" customFormat="false" ht="15" hidden="false" customHeight="false" outlineLevel="0" collapsed="false">
      <c r="A27" s="2" t="s">
        <v>253</v>
      </c>
      <c r="B27" s="2" t="s">
        <v>279</v>
      </c>
      <c r="C27" s="2"/>
      <c r="D27" s="2"/>
      <c r="E27" s="20" t="n">
        <v>20</v>
      </c>
      <c r="F27" s="2"/>
      <c r="G27" s="2"/>
      <c r="H27" s="2"/>
      <c r="I27" s="2"/>
      <c r="J27" s="2"/>
      <c r="K27" s="2"/>
      <c r="L27" s="2"/>
      <c r="M27" s="2" t="s">
        <v>256</v>
      </c>
      <c r="N27" s="2"/>
    </row>
    <row r="28" customFormat="false" ht="15" hidden="false" customHeight="false" outlineLevel="0" collapsed="false">
      <c r="A28" s="2" t="s">
        <v>249</v>
      </c>
      <c r="B28" s="2" t="s">
        <v>280</v>
      </c>
      <c r="C28" s="2"/>
      <c r="D28" s="2"/>
      <c r="E28" s="20" t="n">
        <v>0</v>
      </c>
      <c r="F28" s="2"/>
      <c r="G28" s="2"/>
      <c r="H28" s="2"/>
      <c r="I28" s="2"/>
      <c r="J28" s="2"/>
      <c r="K28" s="2"/>
      <c r="L28" s="2"/>
      <c r="M28" s="2" t="s">
        <v>281</v>
      </c>
      <c r="N28" s="2"/>
    </row>
    <row r="29" customFormat="false" ht="15" hidden="false" customHeight="false" outlineLevel="0" collapsed="false">
      <c r="A29" s="2"/>
      <c r="B29" s="4" t="s">
        <v>282</v>
      </c>
      <c r="C29" s="2"/>
      <c r="D29" s="2"/>
      <c r="E29" s="26" t="n">
        <f aca="false">SUM(E23:E28)</f>
        <v>2770</v>
      </c>
      <c r="F29" s="2"/>
      <c r="G29" s="2"/>
      <c r="H29" s="2"/>
      <c r="I29" s="2"/>
      <c r="J29" s="2"/>
      <c r="K29" s="2"/>
      <c r="L29" s="2"/>
      <c r="M29" s="2"/>
      <c r="N2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9" min="5" style="0" width="14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3" min="13" style="0" width="20"/>
  </cols>
  <sheetData>
    <row r="1" customFormat="false" ht="17.35" hidden="false" customHeight="false" outlineLevel="0" collapsed="false">
      <c r="A1" s="1" t="s">
        <v>283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284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26.85" hidden="false" customHeight="false" outlineLevel="0" collapsed="false">
      <c r="A4" s="5" t="s">
        <v>141</v>
      </c>
      <c r="B4" s="5" t="s">
        <v>285</v>
      </c>
      <c r="C4" s="5" t="s">
        <v>286</v>
      </c>
      <c r="D4" s="5" t="s">
        <v>287</v>
      </c>
      <c r="E4" s="5" t="s">
        <v>288</v>
      </c>
      <c r="F4" s="5" t="s">
        <v>289</v>
      </c>
      <c r="G4" s="5" t="s">
        <v>290</v>
      </c>
      <c r="H4" s="5" t="s">
        <v>291</v>
      </c>
      <c r="I4" s="5" t="s">
        <v>292</v>
      </c>
      <c r="J4" s="5" t="s">
        <v>293</v>
      </c>
      <c r="K4" s="5" t="s">
        <v>294</v>
      </c>
      <c r="L4" s="5" t="s">
        <v>295</v>
      </c>
      <c r="M4" s="5" t="s">
        <v>296</v>
      </c>
    </row>
    <row r="5" customFormat="false" ht="15" hidden="false" customHeight="false" outlineLevel="0" collapsed="false">
      <c r="A5" s="23" t="n">
        <v>1</v>
      </c>
      <c r="B5" s="6" t="n">
        <f aca="false">Assumptions!B$93</f>
        <v>1</v>
      </c>
      <c r="C5" s="8" t="n">
        <f aca="false">Assumptions!B$94</f>
        <v>0.1</v>
      </c>
      <c r="D5" s="25" t="n">
        <f aca="false">INDEX(Scenarios!$C$33:$F$33,B5)</f>
        <v>653.400549031</v>
      </c>
      <c r="E5" s="25" t="n">
        <f aca="false">'Cost Lines'!$E$29</f>
        <v>2770</v>
      </c>
      <c r="F5" s="25" t="n">
        <f aca="false">INDEX(Scenarios!$C$38:$F$38,B5)*C5</f>
        <v>45.33732</v>
      </c>
      <c r="G5" s="25" t="n">
        <f aca="false">(INDEX(Scenarios!$C$44:$F$44,B5)-INDEX(Scenarios!$C$38:$F$38,B5))*C5</f>
        <v>356.25</v>
      </c>
      <c r="H5" s="25" t="n">
        <f aca="false">F5+G5</f>
        <v>401.58732</v>
      </c>
      <c r="I5" s="26" t="n">
        <f aca="false">H5-D5-E5</f>
        <v>-3021.813229031</v>
      </c>
      <c r="J5" s="26" t="n">
        <f aca="false">I5</f>
        <v>-3021.813229031</v>
      </c>
      <c r="K5" s="23" t="str">
        <f aca="false">IF(J5&gt;=0,IF(TRUE(),A5,""),"")</f>
        <v/>
      </c>
      <c r="L5" s="25" t="n">
        <f aca="false">INDEX(Scenarios!$C$49:$F$49,B5)*C5-D5-E5</f>
        <v>-3321.813229031</v>
      </c>
      <c r="M5" s="25" t="n">
        <f aca="false">L5</f>
        <v>-3321.813229031</v>
      </c>
    </row>
    <row r="6" customFormat="false" ht="15" hidden="false" customHeight="false" outlineLevel="0" collapsed="false">
      <c r="A6" s="23" t="n">
        <v>2</v>
      </c>
      <c r="B6" s="6" t="n">
        <f aca="false">Assumptions!C$93</f>
        <v>1</v>
      </c>
      <c r="C6" s="8" t="n">
        <f aca="false">Assumptions!C$94</f>
        <v>0.2</v>
      </c>
      <c r="D6" s="25" t="n">
        <f aca="false">INDEX(Scenarios!$C$33:$F$33,B6)</f>
        <v>653.400549031</v>
      </c>
      <c r="E6" s="25" t="n">
        <f aca="false">0</f>
        <v>0</v>
      </c>
      <c r="F6" s="25" t="n">
        <f aca="false">INDEX(Scenarios!$C$38:$F$38,B6)*C6</f>
        <v>90.67464</v>
      </c>
      <c r="G6" s="25" t="n">
        <f aca="false">(INDEX(Scenarios!$C$44:$F$44,B6)-INDEX(Scenarios!$C$38:$F$38,B6))*C6</f>
        <v>712.5</v>
      </c>
      <c r="H6" s="25" t="n">
        <f aca="false">F6+G6</f>
        <v>803.17464</v>
      </c>
      <c r="I6" s="26" t="n">
        <f aca="false">H6-D6-E6</f>
        <v>149.774090969</v>
      </c>
      <c r="J6" s="26" t="n">
        <f aca="false">J5+I6</f>
        <v>-2872.039138062</v>
      </c>
      <c r="K6" s="23" t="str">
        <f aca="false">IF(J6&gt;=0,IF(J5&lt;0,A6,""),"")</f>
        <v/>
      </c>
      <c r="L6" s="25" t="n">
        <f aca="false">INDEX(Scenarios!$C$49:$F$49,B6)*C6-D6-E6</f>
        <v>-450.225909031</v>
      </c>
      <c r="M6" s="25" t="n">
        <f aca="false">M5+L6</f>
        <v>-3772.039138062</v>
      </c>
    </row>
    <row r="7" customFormat="false" ht="15" hidden="false" customHeight="false" outlineLevel="0" collapsed="false">
      <c r="A7" s="23" t="n">
        <v>3</v>
      </c>
      <c r="B7" s="6" t="n">
        <f aca="false">Assumptions!D$93</f>
        <v>1</v>
      </c>
      <c r="C7" s="8" t="n">
        <f aca="false">Assumptions!D$94</f>
        <v>0.3</v>
      </c>
      <c r="D7" s="25" t="n">
        <f aca="false">INDEX(Scenarios!$C$33:$F$33,B7)</f>
        <v>653.400549031</v>
      </c>
      <c r="E7" s="25" t="n">
        <f aca="false">0</f>
        <v>0</v>
      </c>
      <c r="F7" s="25" t="n">
        <f aca="false">INDEX(Scenarios!$C$38:$F$38,B7)*C7</f>
        <v>136.01196</v>
      </c>
      <c r="G7" s="25" t="n">
        <f aca="false">(INDEX(Scenarios!$C$44:$F$44,B7)-INDEX(Scenarios!$C$38:$F$38,B7))*C7</f>
        <v>1068.75</v>
      </c>
      <c r="H7" s="25" t="n">
        <f aca="false">F7+G7</f>
        <v>1204.76196</v>
      </c>
      <c r="I7" s="26" t="n">
        <f aca="false">H7-D7-E7</f>
        <v>551.361410969</v>
      </c>
      <c r="J7" s="26" t="n">
        <f aca="false">J6+I7</f>
        <v>-2320.677727093</v>
      </c>
      <c r="K7" s="23" t="str">
        <f aca="false">IF(J7&gt;=0,IF(J6&lt;0,A7,""),"")</f>
        <v/>
      </c>
      <c r="L7" s="25" t="n">
        <f aca="false">INDEX(Scenarios!$C$49:$F$49,B7)*C7-D7-E7</f>
        <v>-348.638589031</v>
      </c>
      <c r="M7" s="25" t="n">
        <f aca="false">M6+L7</f>
        <v>-4120.677727093</v>
      </c>
    </row>
    <row r="8" customFormat="false" ht="15" hidden="false" customHeight="false" outlineLevel="0" collapsed="false">
      <c r="A8" s="23" t="n">
        <v>4</v>
      </c>
      <c r="B8" s="6" t="n">
        <f aca="false">Assumptions!E$93</f>
        <v>2</v>
      </c>
      <c r="C8" s="8" t="n">
        <f aca="false">Assumptions!E$94</f>
        <v>0.35</v>
      </c>
      <c r="D8" s="25" t="n">
        <f aca="false">INDEX(Scenarios!$C$33:$F$33,B8)</f>
        <v>2052.627340187</v>
      </c>
      <c r="E8" s="25" t="n">
        <f aca="false">0</f>
        <v>0</v>
      </c>
      <c r="F8" s="25" t="n">
        <f aca="false">INDEX(Scenarios!$C$38:$F$38,B8)*C8</f>
        <v>578.66319</v>
      </c>
      <c r="G8" s="25" t="n">
        <f aca="false">(INDEX(Scenarios!$C$44:$F$44,B8)-INDEX(Scenarios!$C$38:$F$38,B8))*C8</f>
        <v>4042.5</v>
      </c>
      <c r="H8" s="25" t="n">
        <f aca="false">F8+G8</f>
        <v>4621.16319</v>
      </c>
      <c r="I8" s="26" t="n">
        <f aca="false">H8-D8-E8</f>
        <v>2568.535849813</v>
      </c>
      <c r="J8" s="26" t="n">
        <f aca="false">J7+I8</f>
        <v>247.85812272</v>
      </c>
      <c r="K8" s="23" t="n">
        <f aca="false">IF(J8&gt;=0,IF(J7&lt;0,A8,""),"")</f>
        <v>4</v>
      </c>
      <c r="L8" s="25" t="n">
        <f aca="false">INDEX(Scenarios!$C$49:$F$49,B8)*C8-D8-E8</f>
        <v>-231.464150187</v>
      </c>
      <c r="M8" s="25" t="n">
        <f aca="false">M7+L8</f>
        <v>-4352.14187728</v>
      </c>
    </row>
    <row r="9" customFormat="false" ht="15" hidden="false" customHeight="false" outlineLevel="0" collapsed="false">
      <c r="A9" s="23" t="n">
        <v>5</v>
      </c>
      <c r="B9" s="6" t="n">
        <f aca="false">Assumptions!F$93</f>
        <v>2</v>
      </c>
      <c r="C9" s="8" t="n">
        <f aca="false">Assumptions!F$94</f>
        <v>0.45</v>
      </c>
      <c r="D9" s="25" t="n">
        <f aca="false">INDEX(Scenarios!$C$33:$F$33,B9)</f>
        <v>2052.627340187</v>
      </c>
      <c r="E9" s="25" t="n">
        <f aca="false">0</f>
        <v>0</v>
      </c>
      <c r="F9" s="25" t="n">
        <f aca="false">INDEX(Scenarios!$C$38:$F$38,B9)*C9</f>
        <v>743.99553</v>
      </c>
      <c r="G9" s="25" t="n">
        <f aca="false">(INDEX(Scenarios!$C$44:$F$44,B9)-INDEX(Scenarios!$C$38:$F$38,B9))*C9</f>
        <v>5197.5</v>
      </c>
      <c r="H9" s="25" t="n">
        <f aca="false">F9+G9</f>
        <v>5941.49553</v>
      </c>
      <c r="I9" s="26" t="n">
        <f aca="false">H9-D9-E9</f>
        <v>3888.868189813</v>
      </c>
      <c r="J9" s="26" t="n">
        <f aca="false">J8+I9</f>
        <v>4136.726312533</v>
      </c>
      <c r="K9" s="23" t="str">
        <f aca="false">IF(J9&gt;=0,IF(J8&lt;0,A9,""),"")</f>
        <v/>
      </c>
      <c r="L9" s="25" t="n">
        <f aca="false">INDEX(Scenarios!$C$49:$F$49,B9)*C9-D9-E9</f>
        <v>288.868189813</v>
      </c>
      <c r="M9" s="25" t="n">
        <f aca="false">M8+L9</f>
        <v>-4063.273687467</v>
      </c>
    </row>
    <row r="10" customFormat="false" ht="15" hidden="false" customHeight="false" outlineLevel="0" collapsed="false">
      <c r="A10" s="23" t="n">
        <v>6</v>
      </c>
      <c r="B10" s="6" t="n">
        <f aca="false">Assumptions!G$93</f>
        <v>2</v>
      </c>
      <c r="C10" s="8" t="n">
        <f aca="false">Assumptions!G$94</f>
        <v>0.55</v>
      </c>
      <c r="D10" s="25" t="n">
        <f aca="false">INDEX(Scenarios!$C$33:$F$33,B10)</f>
        <v>2052.627340187</v>
      </c>
      <c r="E10" s="25" t="n">
        <f aca="false">0</f>
        <v>0</v>
      </c>
      <c r="F10" s="25" t="n">
        <f aca="false">INDEX(Scenarios!$C$38:$F$38,B10)*C10</f>
        <v>909.32787</v>
      </c>
      <c r="G10" s="25" t="n">
        <f aca="false">(INDEX(Scenarios!$C$44:$F$44,B10)-INDEX(Scenarios!$C$38:$F$38,B10))*C10</f>
        <v>6352.5</v>
      </c>
      <c r="H10" s="25" t="n">
        <f aca="false">F10+G10</f>
        <v>7261.82787</v>
      </c>
      <c r="I10" s="26" t="n">
        <f aca="false">H10-D10-E10</f>
        <v>5209.200529813</v>
      </c>
      <c r="J10" s="26" t="n">
        <f aca="false">J9+I10</f>
        <v>9345.926842346</v>
      </c>
      <c r="K10" s="23" t="str">
        <f aca="false">IF(J10&gt;=0,IF(J9&lt;0,A10,""),"")</f>
        <v/>
      </c>
      <c r="L10" s="25" t="n">
        <f aca="false">INDEX(Scenarios!$C$49:$F$49,B10)*C10-D10-E10</f>
        <v>809.200529813001</v>
      </c>
      <c r="M10" s="25" t="n">
        <f aca="false">M9+L10</f>
        <v>-3254.073157654</v>
      </c>
    </row>
    <row r="11" customFormat="false" ht="15" hidden="false" customHeight="false" outlineLevel="0" collapsed="false">
      <c r="A11" s="23" t="n">
        <v>7</v>
      </c>
      <c r="B11" s="6" t="n">
        <f aca="false">Assumptions!H$93</f>
        <v>3</v>
      </c>
      <c r="C11" s="8" t="n">
        <f aca="false">Assumptions!H$94</f>
        <v>0.5</v>
      </c>
      <c r="D11" s="25" t="n">
        <f aca="false">INDEX(Scenarios!$C$33:$F$33,B11)</f>
        <v>7093.393115096</v>
      </c>
      <c r="E11" s="25" t="n">
        <f aca="false">0</f>
        <v>0</v>
      </c>
      <c r="F11" s="25" t="n">
        <f aca="false">INDEX(Scenarios!$C$38:$F$38,B11)*C11</f>
        <v>4656.0825</v>
      </c>
      <c r="G11" s="25" t="n">
        <f aca="false">(INDEX(Scenarios!$C$44:$F$44,B11)-INDEX(Scenarios!$C$38:$F$38,B11))*C11</f>
        <v>25750</v>
      </c>
      <c r="H11" s="25" t="n">
        <f aca="false">F11+G11</f>
        <v>30406.0825</v>
      </c>
      <c r="I11" s="26" t="n">
        <f aca="false">H11-D11-E11</f>
        <v>23312.689384904</v>
      </c>
      <c r="J11" s="26" t="n">
        <f aca="false">J10+I11</f>
        <v>32658.61622725</v>
      </c>
      <c r="K11" s="23" t="str">
        <f aca="false">IF(J11&gt;=0,IF(J10&lt;0,A11,""),"")</f>
        <v/>
      </c>
      <c r="L11" s="25" t="n">
        <f aca="false">INDEX(Scenarios!$C$49:$F$49,B11)*C11-D11-E11</f>
        <v>11562.689384904</v>
      </c>
      <c r="M11" s="25" t="n">
        <f aca="false">M10+L11</f>
        <v>8308.61622725</v>
      </c>
    </row>
    <row r="12" customFormat="false" ht="15" hidden="false" customHeight="false" outlineLevel="0" collapsed="false">
      <c r="A12" s="23" t="n">
        <v>8</v>
      </c>
      <c r="B12" s="6" t="n">
        <f aca="false">Assumptions!I$93</f>
        <v>3</v>
      </c>
      <c r="C12" s="8" t="n">
        <f aca="false">Assumptions!I$94</f>
        <v>0.6</v>
      </c>
      <c r="D12" s="25" t="n">
        <f aca="false">INDEX(Scenarios!$C$33:$F$33,B12)</f>
        <v>7093.393115096</v>
      </c>
      <c r="E12" s="25" t="n">
        <f aca="false">0</f>
        <v>0</v>
      </c>
      <c r="F12" s="25" t="n">
        <f aca="false">INDEX(Scenarios!$C$38:$F$38,B12)*C12</f>
        <v>5587.299</v>
      </c>
      <c r="G12" s="25" t="n">
        <f aca="false">(INDEX(Scenarios!$C$44:$F$44,B12)-INDEX(Scenarios!$C$38:$F$38,B12))*C12</f>
        <v>30900</v>
      </c>
      <c r="H12" s="25" t="n">
        <f aca="false">F12+G12</f>
        <v>36487.299</v>
      </c>
      <c r="I12" s="26" t="n">
        <f aca="false">H12-D12-E12</f>
        <v>29393.905884904</v>
      </c>
      <c r="J12" s="26" t="n">
        <f aca="false">J11+I12</f>
        <v>62052.522112154</v>
      </c>
      <c r="K12" s="23" t="str">
        <f aca="false">IF(J12&gt;=0,IF(J11&lt;0,A12,""),"")</f>
        <v/>
      </c>
      <c r="L12" s="25" t="n">
        <f aca="false">INDEX(Scenarios!$C$49:$F$49,B12)*C12-D12-E12</f>
        <v>15293.905884904</v>
      </c>
      <c r="M12" s="25" t="n">
        <f aca="false">M11+L12</f>
        <v>23602.522112154</v>
      </c>
    </row>
    <row r="13" customFormat="false" ht="15" hidden="false" customHeight="false" outlineLevel="0" collapsed="false">
      <c r="A13" s="23" t="n">
        <v>9</v>
      </c>
      <c r="B13" s="6" t="n">
        <f aca="false">Assumptions!J$93</f>
        <v>3</v>
      </c>
      <c r="C13" s="8" t="n">
        <f aca="false">Assumptions!J$94</f>
        <v>0.7</v>
      </c>
      <c r="D13" s="25" t="n">
        <f aca="false">INDEX(Scenarios!$C$33:$F$33,B13)</f>
        <v>7093.393115096</v>
      </c>
      <c r="E13" s="25" t="n">
        <f aca="false">0</f>
        <v>0</v>
      </c>
      <c r="F13" s="25" t="n">
        <f aca="false">INDEX(Scenarios!$C$38:$F$38,B13)*C13</f>
        <v>6518.5155</v>
      </c>
      <c r="G13" s="25" t="n">
        <f aca="false">(INDEX(Scenarios!$C$44:$F$44,B13)-INDEX(Scenarios!$C$38:$F$38,B13))*C13</f>
        <v>36050</v>
      </c>
      <c r="H13" s="25" t="n">
        <f aca="false">F13+G13</f>
        <v>42568.5155</v>
      </c>
      <c r="I13" s="26" t="n">
        <f aca="false">H13-D13-E13</f>
        <v>35475.122384904</v>
      </c>
      <c r="J13" s="26" t="n">
        <f aca="false">J12+I13</f>
        <v>97527.644497058</v>
      </c>
      <c r="K13" s="23" t="str">
        <f aca="false">IF(J13&gt;=0,IF(J12&lt;0,A13,""),"")</f>
        <v/>
      </c>
      <c r="L13" s="25" t="n">
        <f aca="false">INDEX(Scenarios!$C$49:$F$49,B13)*C13-D13-E13</f>
        <v>19025.122384904</v>
      </c>
      <c r="M13" s="25" t="n">
        <f aca="false">M12+L13</f>
        <v>42627.644497058</v>
      </c>
    </row>
    <row r="14" customFormat="false" ht="15" hidden="false" customHeight="false" outlineLevel="0" collapsed="false">
      <c r="A14" s="23" t="n">
        <v>10</v>
      </c>
      <c r="B14" s="6" t="n">
        <f aca="false">Assumptions!K$93</f>
        <v>3</v>
      </c>
      <c r="C14" s="8" t="n">
        <f aca="false">Assumptions!K$94</f>
        <v>0.8</v>
      </c>
      <c r="D14" s="25" t="n">
        <f aca="false">INDEX(Scenarios!$C$33:$F$33,B14)</f>
        <v>7093.393115096</v>
      </c>
      <c r="E14" s="25" t="n">
        <f aca="false">0</f>
        <v>0</v>
      </c>
      <c r="F14" s="25" t="n">
        <f aca="false">INDEX(Scenarios!$C$38:$F$38,B14)*C14</f>
        <v>7449.732</v>
      </c>
      <c r="G14" s="25" t="n">
        <f aca="false">(INDEX(Scenarios!$C$44:$F$44,B14)-INDEX(Scenarios!$C$38:$F$38,B14))*C14</f>
        <v>41200</v>
      </c>
      <c r="H14" s="25" t="n">
        <f aca="false">F14+G14</f>
        <v>48649.732</v>
      </c>
      <c r="I14" s="26" t="n">
        <f aca="false">H14-D14-E14</f>
        <v>41556.338884904</v>
      </c>
      <c r="J14" s="26" t="n">
        <f aca="false">J13+I14</f>
        <v>139083.983381962</v>
      </c>
      <c r="K14" s="23" t="str">
        <f aca="false">IF(J14&gt;=0,IF(J13&lt;0,A14,""),"")</f>
        <v/>
      </c>
      <c r="L14" s="25" t="n">
        <f aca="false">INDEX(Scenarios!$C$49:$F$49,B14)*C14-D14-E14</f>
        <v>22756.338884904</v>
      </c>
      <c r="M14" s="25" t="n">
        <f aca="false">M13+L14</f>
        <v>65383.983381962</v>
      </c>
    </row>
    <row r="15" customFormat="false" ht="15" hidden="false" customHeight="false" outlineLevel="0" collapsed="false">
      <c r="A15" s="23" t="n">
        <v>11</v>
      </c>
      <c r="B15" s="6" t="n">
        <f aca="false">Assumptions!L$93</f>
        <v>3</v>
      </c>
      <c r="C15" s="8" t="n">
        <f aca="false">Assumptions!L$94</f>
        <v>0.9</v>
      </c>
      <c r="D15" s="25" t="n">
        <f aca="false">INDEX(Scenarios!$C$33:$F$33,B15)</f>
        <v>7093.393115096</v>
      </c>
      <c r="E15" s="25" t="n">
        <f aca="false">0</f>
        <v>0</v>
      </c>
      <c r="F15" s="25" t="n">
        <f aca="false">INDEX(Scenarios!$C$38:$F$38,B15)*C15</f>
        <v>8380.9485</v>
      </c>
      <c r="G15" s="25" t="n">
        <f aca="false">(INDEX(Scenarios!$C$44:$F$44,B15)-INDEX(Scenarios!$C$38:$F$38,B15))*C15</f>
        <v>46350</v>
      </c>
      <c r="H15" s="25" t="n">
        <f aca="false">F15+G15</f>
        <v>54730.9485</v>
      </c>
      <c r="I15" s="26" t="n">
        <f aca="false">H15-D15-E15</f>
        <v>47637.555384904</v>
      </c>
      <c r="J15" s="26" t="n">
        <f aca="false">J14+I15</f>
        <v>186721.538766866</v>
      </c>
      <c r="K15" s="23" t="str">
        <f aca="false">IF(J15&gt;=0,IF(J14&lt;0,A15,""),"")</f>
        <v/>
      </c>
      <c r="L15" s="25" t="n">
        <f aca="false">INDEX(Scenarios!$C$49:$F$49,B15)*C15-D15-E15</f>
        <v>26487.555384904</v>
      </c>
      <c r="M15" s="25" t="n">
        <f aca="false">M14+L15</f>
        <v>91871.538766866</v>
      </c>
    </row>
    <row r="16" customFormat="false" ht="15" hidden="false" customHeight="false" outlineLevel="0" collapsed="false">
      <c r="A16" s="23" t="n">
        <v>12</v>
      </c>
      <c r="B16" s="6" t="n">
        <f aca="false">Assumptions!M$93</f>
        <v>3</v>
      </c>
      <c r="C16" s="8" t="n">
        <f aca="false">Assumptions!M$94</f>
        <v>1</v>
      </c>
      <c r="D16" s="25" t="n">
        <f aca="false">INDEX(Scenarios!$C$33:$F$33,B16)</f>
        <v>7093.393115096</v>
      </c>
      <c r="E16" s="25" t="n">
        <f aca="false">0</f>
        <v>0</v>
      </c>
      <c r="F16" s="25" t="n">
        <f aca="false">INDEX(Scenarios!$C$38:$F$38,B16)*C16</f>
        <v>9312.165</v>
      </c>
      <c r="G16" s="25" t="n">
        <f aca="false">(INDEX(Scenarios!$C$44:$F$44,B16)-INDEX(Scenarios!$C$38:$F$38,B16))*C16</f>
        <v>51500</v>
      </c>
      <c r="H16" s="25" t="n">
        <f aca="false">F16+G16</f>
        <v>60812.165</v>
      </c>
      <c r="I16" s="26" t="n">
        <f aca="false">H16-D16-E16</f>
        <v>53718.771884904</v>
      </c>
      <c r="J16" s="26" t="n">
        <f aca="false">J15+I16</f>
        <v>240440.31065177</v>
      </c>
      <c r="K16" s="23" t="str">
        <f aca="false">IF(J16&gt;=0,IF(J15&lt;0,A16,""),"")</f>
        <v/>
      </c>
      <c r="L16" s="25" t="n">
        <f aca="false">INDEX(Scenarios!$C$49:$F$49,B16)*C16-D16-E16</f>
        <v>30218.771884904</v>
      </c>
      <c r="M16" s="25" t="n">
        <f aca="false">M15+L16</f>
        <v>122090.31065177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customFormat="false" ht="15" hidden="false" customHeight="false" outlineLevel="0" collapsed="false">
      <c r="A18" s="3" t="s">
        <v>297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customFormat="false" ht="15" hidden="false" customHeight="false" outlineLevel="0" collapsed="false">
      <c r="A20" s="4" t="s">
        <v>298</v>
      </c>
      <c r="B20" s="2"/>
      <c r="C20" s="2"/>
      <c r="D20" s="31" t="n">
        <f aca="false">IF(COUNT(K5:K16)=0,"Not within 12 months",MIN(K5:K16))</f>
        <v>4</v>
      </c>
      <c r="E20" s="2"/>
      <c r="F20" s="2"/>
      <c r="G20" s="2"/>
      <c r="H20" s="2"/>
      <c r="I20" s="2"/>
      <c r="J20" s="2"/>
      <c r="K20" s="2"/>
      <c r="L20" s="2"/>
      <c r="M20" s="2"/>
    </row>
    <row r="21" customFormat="false" ht="15" hidden="false" customHeight="false" outlineLevel="0" collapsed="false">
      <c r="A21" s="4" t="s">
        <v>299</v>
      </c>
      <c r="B21" s="2"/>
      <c r="C21" s="2"/>
      <c r="D21" s="32" t="n">
        <f aca="false">MIN(0,MIN(J5:J16))</f>
        <v>-3021.813229031</v>
      </c>
      <c r="E21" s="2"/>
      <c r="F21" s="2"/>
      <c r="G21" s="2"/>
      <c r="H21" s="2"/>
      <c r="I21" s="2"/>
      <c r="J21" s="2"/>
      <c r="K21" s="2"/>
      <c r="L21" s="2"/>
      <c r="M21" s="2"/>
    </row>
    <row r="22" customFormat="false" ht="15" hidden="false" customHeight="false" outlineLevel="0" collapsed="false">
      <c r="A22" s="4" t="s">
        <v>300</v>
      </c>
      <c r="B22" s="2"/>
      <c r="C22" s="2"/>
      <c r="D22" s="32" t="n">
        <f aca="false">SUM(H5:H16)</f>
        <v>293888.75301</v>
      </c>
      <c r="E22" s="2"/>
      <c r="F22" s="2"/>
      <c r="G22" s="2"/>
      <c r="H22" s="2"/>
      <c r="I22" s="2"/>
      <c r="J22" s="2"/>
      <c r="K22" s="2"/>
      <c r="L22" s="2"/>
      <c r="M22" s="2"/>
    </row>
    <row r="23" customFormat="false" ht="15" hidden="false" customHeight="false" outlineLevel="0" collapsed="false">
      <c r="A23" s="4" t="s">
        <v>301</v>
      </c>
      <c r="B23" s="2"/>
      <c r="C23" s="2"/>
      <c r="D23" s="32" t="n">
        <f aca="false">SUM(D5:D16)+SUM(E5:E16)</f>
        <v>53448.44235823</v>
      </c>
      <c r="E23" s="2"/>
      <c r="F23" s="2"/>
      <c r="G23" s="2"/>
      <c r="H23" s="2"/>
      <c r="I23" s="2"/>
      <c r="J23" s="2"/>
      <c r="K23" s="2"/>
      <c r="L23" s="2"/>
      <c r="M23" s="2"/>
    </row>
    <row r="24" customFormat="false" ht="15" hidden="false" customHeight="false" outlineLevel="0" collapsed="false">
      <c r="A24" s="4" t="s">
        <v>302</v>
      </c>
      <c r="B24" s="2"/>
      <c r="C24" s="2"/>
      <c r="D24" s="33" t="n">
        <f aca="false">IF(D23=0,0,(D22-D23)/D23)</f>
        <v>4.49854663752885</v>
      </c>
      <c r="E24" s="2"/>
      <c r="F24" s="2"/>
      <c r="G24" s="2"/>
      <c r="H24" s="2"/>
      <c r="I24" s="2"/>
      <c r="J24" s="2"/>
      <c r="K24" s="2"/>
      <c r="L24" s="2"/>
      <c r="M24" s="2"/>
    </row>
    <row r="25" customFormat="false" ht="15" hidden="false" customHeight="false" outlineLevel="0" collapsed="false">
      <c r="A25" s="4" t="s">
        <v>303</v>
      </c>
      <c r="B25" s="2"/>
      <c r="C25" s="2"/>
      <c r="D25" s="32" t="n">
        <f aca="false">MIN(0,MIN(M5:M16))</f>
        <v>-4352.14187728</v>
      </c>
      <c r="E25" s="2"/>
      <c r="F25" s="2"/>
      <c r="G25" s="2"/>
      <c r="H25" s="2"/>
      <c r="I25" s="2"/>
      <c r="J25" s="2"/>
      <c r="K25" s="2"/>
      <c r="L25" s="2"/>
      <c r="M25" s="2"/>
    </row>
    <row r="26" customFormat="false" ht="15" hidden="false" customHeight="false" outlineLevel="0" collapsed="false">
      <c r="A26" s="4" t="s">
        <v>304</v>
      </c>
      <c r="B26" s="2"/>
      <c r="C26" s="2"/>
      <c r="D26" s="32" t="n">
        <f aca="false">M16</f>
        <v>122090.31065177</v>
      </c>
      <c r="E26" s="2"/>
      <c r="F26" s="2"/>
      <c r="G26" s="2"/>
      <c r="H26" s="2"/>
      <c r="I26" s="2"/>
      <c r="J26" s="2"/>
      <c r="K26" s="2"/>
      <c r="L26" s="2"/>
      <c r="M2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1" t="s">
        <v>305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306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4" t="s">
        <v>307</v>
      </c>
      <c r="B4" s="10" t="n">
        <v>25</v>
      </c>
      <c r="C4" s="10" t="n">
        <v>50</v>
      </c>
      <c r="D4" s="10" t="n">
        <v>100</v>
      </c>
      <c r="E4" s="10" t="n">
        <v>250</v>
      </c>
      <c r="F4" s="10" t="n">
        <v>500</v>
      </c>
      <c r="G4" s="10" t="n">
        <v>1000</v>
      </c>
      <c r="H4" s="10" t="n">
        <v>2500</v>
      </c>
    </row>
    <row r="5" customFormat="false" ht="15" hidden="false" customHeight="false" outlineLevel="0" collapsed="false">
      <c r="A5" s="20" t="n">
        <v>5</v>
      </c>
      <c r="B5" s="25" t="n">
        <f aca="false">Scenarios!$E$21*B$4*(SUMPRODUCT(Scenarios!E14:E20,Assumptions!$F$41:$F$47)/MAX(1,Scenarios!E21))/1000*$A5*INDEX(Assumptions!$B$74:$D$74,Assumptions!$B$5)*INDEX(Assumptions!$B$75:$D$75,Assumptions!$B$5)+(Scenarios!E44-Scenarios!E38)-Scenarios!$E$33</f>
        <v>44563.926884904</v>
      </c>
      <c r="C5" s="25" t="n">
        <f aca="false">Scenarios!$E$21*C$4*(SUMPRODUCT(Scenarios!E14:E20,Assumptions!$F$41:$F$47)/MAX(1,Scenarios!E21))/1000*$A5*INDEX(Assumptions!$B$74:$D$74,Assumptions!$B$5)*INDEX(Assumptions!$B$75:$D$75,Assumptions!$B$5)+(Scenarios!E44-Scenarios!E38)-Scenarios!$E$33</f>
        <v>44721.246884904</v>
      </c>
      <c r="D5" s="25" t="n">
        <f aca="false">Scenarios!$E$21*D$4*(SUMPRODUCT(Scenarios!E14:E20,Assumptions!$F$41:$F$47)/MAX(1,Scenarios!E21))/1000*$A5*INDEX(Assumptions!$B$74:$D$74,Assumptions!$B$5)*INDEX(Assumptions!$B$75:$D$75,Assumptions!$B$5)+(Scenarios!E44-Scenarios!E38)-Scenarios!$E$33</f>
        <v>45035.886884904</v>
      </c>
      <c r="E5" s="25" t="n">
        <f aca="false">Scenarios!$E$21*E$4*(SUMPRODUCT(Scenarios!E14:E20,Assumptions!$F$41:$F$47)/MAX(1,Scenarios!E21))/1000*$A5*INDEX(Assumptions!$B$74:$D$74,Assumptions!$B$5)*INDEX(Assumptions!$B$75:$D$75,Assumptions!$B$5)+(Scenarios!E44-Scenarios!E38)-Scenarios!$E$33</f>
        <v>45979.806884904</v>
      </c>
      <c r="F5" s="25" t="n">
        <f aca="false">Scenarios!$E$21*F$4*(SUMPRODUCT(Scenarios!E14:E20,Assumptions!$F$41:$F$47)/MAX(1,Scenarios!E21))/1000*$A5*INDEX(Assumptions!$B$74:$D$74,Assumptions!$B$5)*INDEX(Assumptions!$B$75:$D$75,Assumptions!$B$5)+(Scenarios!E44-Scenarios!E38)-Scenarios!$E$33</f>
        <v>47553.006884904</v>
      </c>
      <c r="G5" s="25" t="n">
        <f aca="false">Scenarios!$E$21*G$4*(SUMPRODUCT(Scenarios!E14:E20,Assumptions!$F$41:$F$47)/MAX(1,Scenarios!E21))/1000*$A5*INDEX(Assumptions!$B$74:$D$74,Assumptions!$B$5)*INDEX(Assumptions!$B$75:$D$75,Assumptions!$B$5)+(Scenarios!E44-Scenarios!E38)-Scenarios!$E$33</f>
        <v>50699.406884904</v>
      </c>
      <c r="H5" s="25" t="n">
        <f aca="false">Scenarios!$E$21*H$4*(SUMPRODUCT(Scenarios!E14:E20,Assumptions!$F$41:$F$47)/MAX(1,Scenarios!E21))/1000*$A5*INDEX(Assumptions!$B$74:$D$74,Assumptions!$B$5)*INDEX(Assumptions!$B$75:$D$75,Assumptions!$B$5)+(Scenarios!E44-Scenarios!E38)-Scenarios!$E$33</f>
        <v>60138.606884904</v>
      </c>
    </row>
    <row r="6" customFormat="false" ht="15" hidden="false" customHeight="false" outlineLevel="0" collapsed="false">
      <c r="A6" s="20" t="n">
        <v>8</v>
      </c>
      <c r="B6" s="25" t="n">
        <f aca="false">Scenarios!$E$21*B$4*(SUMPRODUCT(Scenarios!E14:E20,Assumptions!$F$41:$F$47)/MAX(1,Scenarios!E21))/1000*$A6*INDEX(Assumptions!$B$74:$D$74,Assumptions!$B$5)*INDEX(Assumptions!$B$75:$D$75,Assumptions!$B$5)+(Scenarios!E44-Scenarios!E38)-Scenarios!$E$33</f>
        <v>44658.318884904</v>
      </c>
      <c r="C6" s="25" t="n">
        <f aca="false">Scenarios!$E$21*C$4*(SUMPRODUCT(Scenarios!E14:E20,Assumptions!$F$41:$F$47)/MAX(1,Scenarios!E21))/1000*$A6*INDEX(Assumptions!$B$74:$D$74,Assumptions!$B$5)*INDEX(Assumptions!$B$75:$D$75,Assumptions!$B$5)+(Scenarios!E44-Scenarios!E38)-Scenarios!$E$33</f>
        <v>44910.030884904</v>
      </c>
      <c r="D6" s="25" t="n">
        <f aca="false">Scenarios!$E$21*D$4*(SUMPRODUCT(Scenarios!E14:E20,Assumptions!$F$41:$F$47)/MAX(1,Scenarios!E21))/1000*$A6*INDEX(Assumptions!$B$74:$D$74,Assumptions!$B$5)*INDEX(Assumptions!$B$75:$D$75,Assumptions!$B$5)+(Scenarios!E44-Scenarios!E38)-Scenarios!$E$33</f>
        <v>45413.454884904</v>
      </c>
      <c r="E6" s="25" t="n">
        <f aca="false">Scenarios!$E$21*E$4*(SUMPRODUCT(Scenarios!E14:E20,Assumptions!$F$41:$F$47)/MAX(1,Scenarios!E21))/1000*$A6*INDEX(Assumptions!$B$74:$D$74,Assumptions!$B$5)*INDEX(Assumptions!$B$75:$D$75,Assumptions!$B$5)+(Scenarios!E44-Scenarios!E38)-Scenarios!$E$33</f>
        <v>46923.726884904</v>
      </c>
      <c r="F6" s="25" t="n">
        <f aca="false">Scenarios!$E$21*F$4*(SUMPRODUCT(Scenarios!E14:E20,Assumptions!$F$41:$F$47)/MAX(1,Scenarios!E21))/1000*$A6*INDEX(Assumptions!$B$74:$D$74,Assumptions!$B$5)*INDEX(Assumptions!$B$75:$D$75,Assumptions!$B$5)+(Scenarios!E44-Scenarios!E38)-Scenarios!$E$33</f>
        <v>49440.846884904</v>
      </c>
      <c r="G6" s="25" t="n">
        <f aca="false">Scenarios!$E$21*G$4*(SUMPRODUCT(Scenarios!E14:E20,Assumptions!$F$41:$F$47)/MAX(1,Scenarios!E21))/1000*$A6*INDEX(Assumptions!$B$74:$D$74,Assumptions!$B$5)*INDEX(Assumptions!$B$75:$D$75,Assumptions!$B$5)+(Scenarios!E44-Scenarios!E38)-Scenarios!$E$33</f>
        <v>54475.086884904</v>
      </c>
      <c r="H6" s="25" t="n">
        <f aca="false">Scenarios!$E$21*H$4*(SUMPRODUCT(Scenarios!E14:E20,Assumptions!$F$41:$F$47)/MAX(1,Scenarios!E21))/1000*$A6*INDEX(Assumptions!$B$74:$D$74,Assumptions!$B$5)*INDEX(Assumptions!$B$75:$D$75,Assumptions!$B$5)+(Scenarios!E44-Scenarios!E38)-Scenarios!$E$33</f>
        <v>69577.806884904</v>
      </c>
    </row>
    <row r="7" customFormat="false" ht="15" hidden="false" customHeight="false" outlineLevel="0" collapsed="false">
      <c r="A7" s="20" t="n">
        <v>10</v>
      </c>
      <c r="B7" s="25" t="n">
        <f aca="false">Scenarios!$E$21*B$4*(SUMPRODUCT(Scenarios!E14:E20,Assumptions!$F$41:$F$47)/MAX(1,Scenarios!E21))/1000*$A7*INDEX(Assumptions!$B$74:$D$74,Assumptions!$B$5)*INDEX(Assumptions!$B$75:$D$75,Assumptions!$B$5)+(Scenarios!E44-Scenarios!E38)-Scenarios!$E$33</f>
        <v>44721.246884904</v>
      </c>
      <c r="C7" s="25" t="n">
        <f aca="false">Scenarios!$E$21*C$4*(SUMPRODUCT(Scenarios!E14:E20,Assumptions!$F$41:$F$47)/MAX(1,Scenarios!E21))/1000*$A7*INDEX(Assumptions!$B$74:$D$74,Assumptions!$B$5)*INDEX(Assumptions!$B$75:$D$75,Assumptions!$B$5)+(Scenarios!E44-Scenarios!E38)-Scenarios!$E$33</f>
        <v>45035.886884904</v>
      </c>
      <c r="D7" s="25" t="n">
        <f aca="false">Scenarios!$E$21*D$4*(SUMPRODUCT(Scenarios!E14:E20,Assumptions!$F$41:$F$47)/MAX(1,Scenarios!E21))/1000*$A7*INDEX(Assumptions!$B$74:$D$74,Assumptions!$B$5)*INDEX(Assumptions!$B$75:$D$75,Assumptions!$B$5)+(Scenarios!E44-Scenarios!E38)-Scenarios!$E$33</f>
        <v>45665.166884904</v>
      </c>
      <c r="E7" s="25" t="n">
        <f aca="false">Scenarios!$E$21*E$4*(SUMPRODUCT(Scenarios!E14:E20,Assumptions!$F$41:$F$47)/MAX(1,Scenarios!E21))/1000*$A7*INDEX(Assumptions!$B$74:$D$74,Assumptions!$B$5)*INDEX(Assumptions!$B$75:$D$75,Assumptions!$B$5)+(Scenarios!E44-Scenarios!E38)-Scenarios!$E$33</f>
        <v>47553.006884904</v>
      </c>
      <c r="F7" s="25" t="n">
        <f aca="false">Scenarios!$E$21*F$4*(SUMPRODUCT(Scenarios!E14:E20,Assumptions!$F$41:$F$47)/MAX(1,Scenarios!E21))/1000*$A7*INDEX(Assumptions!$B$74:$D$74,Assumptions!$B$5)*INDEX(Assumptions!$B$75:$D$75,Assumptions!$B$5)+(Scenarios!E44-Scenarios!E38)-Scenarios!$E$33</f>
        <v>50699.406884904</v>
      </c>
      <c r="G7" s="25" t="n">
        <f aca="false">Scenarios!$E$21*G$4*(SUMPRODUCT(Scenarios!E14:E20,Assumptions!$F$41:$F$47)/MAX(1,Scenarios!E21))/1000*$A7*INDEX(Assumptions!$B$74:$D$74,Assumptions!$B$5)*INDEX(Assumptions!$B$75:$D$75,Assumptions!$B$5)+(Scenarios!E44-Scenarios!E38)-Scenarios!$E$33</f>
        <v>56992.206884904</v>
      </c>
      <c r="H7" s="25" t="n">
        <f aca="false">Scenarios!$E$21*H$4*(SUMPRODUCT(Scenarios!E14:E20,Assumptions!$F$41:$F$47)/MAX(1,Scenarios!E21))/1000*$A7*INDEX(Assumptions!$B$74:$D$74,Assumptions!$B$5)*INDEX(Assumptions!$B$75:$D$75,Assumptions!$B$5)+(Scenarios!E44-Scenarios!E38)-Scenarios!$E$33</f>
        <v>75870.606884904</v>
      </c>
    </row>
    <row r="8" customFormat="false" ht="15" hidden="false" customHeight="false" outlineLevel="0" collapsed="false">
      <c r="A8" s="20" t="n">
        <v>15</v>
      </c>
      <c r="B8" s="25" t="n">
        <f aca="false">Scenarios!$E$21*B$4*(SUMPRODUCT(Scenarios!E14:E20,Assumptions!$F$41:$F$47)/MAX(1,Scenarios!E21))/1000*$A8*INDEX(Assumptions!$B$74:$D$74,Assumptions!$B$5)*INDEX(Assumptions!$B$75:$D$75,Assumptions!$B$5)+(Scenarios!E44-Scenarios!E38)-Scenarios!$E$33</f>
        <v>44878.566884904</v>
      </c>
      <c r="C8" s="25" t="n">
        <f aca="false">Scenarios!$E$21*C$4*(SUMPRODUCT(Scenarios!E14:E20,Assumptions!$F$41:$F$47)/MAX(1,Scenarios!E21))/1000*$A8*INDEX(Assumptions!$B$74:$D$74,Assumptions!$B$5)*INDEX(Assumptions!$B$75:$D$75,Assumptions!$B$5)+(Scenarios!E44-Scenarios!E38)-Scenarios!$E$33</f>
        <v>45350.526884904</v>
      </c>
      <c r="D8" s="25" t="n">
        <f aca="false">Scenarios!$E$21*D$4*(SUMPRODUCT(Scenarios!E14:E20,Assumptions!$F$41:$F$47)/MAX(1,Scenarios!E21))/1000*$A8*INDEX(Assumptions!$B$74:$D$74,Assumptions!$B$5)*INDEX(Assumptions!$B$75:$D$75,Assumptions!$B$5)+(Scenarios!E44-Scenarios!E38)-Scenarios!$E$33</f>
        <v>46294.446884904</v>
      </c>
      <c r="E8" s="25" t="n">
        <f aca="false">Scenarios!$E$21*E$4*(SUMPRODUCT(Scenarios!E14:E20,Assumptions!$F$41:$F$47)/MAX(1,Scenarios!E21))/1000*$A8*INDEX(Assumptions!$B$74:$D$74,Assumptions!$B$5)*INDEX(Assumptions!$B$75:$D$75,Assumptions!$B$5)+(Scenarios!E44-Scenarios!E38)-Scenarios!$E$33</f>
        <v>49126.206884904</v>
      </c>
      <c r="F8" s="25" t="n">
        <f aca="false">Scenarios!$E$21*F$4*(SUMPRODUCT(Scenarios!E14:E20,Assumptions!$F$41:$F$47)/MAX(1,Scenarios!E21))/1000*$A8*INDEX(Assumptions!$B$74:$D$74,Assumptions!$B$5)*INDEX(Assumptions!$B$75:$D$75,Assumptions!$B$5)+(Scenarios!E44-Scenarios!E38)-Scenarios!$E$33</f>
        <v>53845.806884904</v>
      </c>
      <c r="G8" s="25" t="n">
        <f aca="false">Scenarios!$E$21*G$4*(SUMPRODUCT(Scenarios!E14:E20,Assumptions!$F$41:$F$47)/MAX(1,Scenarios!E21))/1000*$A8*INDEX(Assumptions!$B$74:$D$74,Assumptions!$B$5)*INDEX(Assumptions!$B$75:$D$75,Assumptions!$B$5)+(Scenarios!E44-Scenarios!E38)-Scenarios!$E$33</f>
        <v>63285.006884904</v>
      </c>
      <c r="H8" s="25" t="n">
        <f aca="false">Scenarios!$E$21*H$4*(SUMPRODUCT(Scenarios!E14:E20,Assumptions!$F$41:$F$47)/MAX(1,Scenarios!E21))/1000*$A8*INDEX(Assumptions!$B$74:$D$74,Assumptions!$B$5)*INDEX(Assumptions!$B$75:$D$75,Assumptions!$B$5)+(Scenarios!E44-Scenarios!E38)-Scenarios!$E$33</f>
        <v>91602.606884904</v>
      </c>
    </row>
    <row r="9" customFormat="false" ht="15" hidden="false" customHeight="false" outlineLevel="0" collapsed="false">
      <c r="A9" s="20" t="n">
        <v>20</v>
      </c>
      <c r="B9" s="25" t="n">
        <f aca="false">Scenarios!$E$21*B$4*(SUMPRODUCT(Scenarios!E14:E20,Assumptions!$F$41:$F$47)/MAX(1,Scenarios!E21))/1000*$A9*INDEX(Assumptions!$B$74:$D$74,Assumptions!$B$5)*INDEX(Assumptions!$B$75:$D$75,Assumptions!$B$5)+(Scenarios!E44-Scenarios!E38)-Scenarios!$E$33</f>
        <v>45035.886884904</v>
      </c>
      <c r="C9" s="25" t="n">
        <f aca="false">Scenarios!$E$21*C$4*(SUMPRODUCT(Scenarios!E14:E20,Assumptions!$F$41:$F$47)/MAX(1,Scenarios!E21))/1000*$A9*INDEX(Assumptions!$B$74:$D$74,Assumptions!$B$5)*INDEX(Assumptions!$B$75:$D$75,Assumptions!$B$5)+(Scenarios!E44-Scenarios!E38)-Scenarios!$E$33</f>
        <v>45665.166884904</v>
      </c>
      <c r="D9" s="25" t="n">
        <f aca="false">Scenarios!$E$21*D$4*(SUMPRODUCT(Scenarios!E14:E20,Assumptions!$F$41:$F$47)/MAX(1,Scenarios!E21))/1000*$A9*INDEX(Assumptions!$B$74:$D$74,Assumptions!$B$5)*INDEX(Assumptions!$B$75:$D$75,Assumptions!$B$5)+(Scenarios!E44-Scenarios!E38)-Scenarios!$E$33</f>
        <v>46923.726884904</v>
      </c>
      <c r="E9" s="25" t="n">
        <f aca="false">Scenarios!$E$21*E$4*(SUMPRODUCT(Scenarios!E14:E20,Assumptions!$F$41:$F$47)/MAX(1,Scenarios!E21))/1000*$A9*INDEX(Assumptions!$B$74:$D$74,Assumptions!$B$5)*INDEX(Assumptions!$B$75:$D$75,Assumptions!$B$5)+(Scenarios!E44-Scenarios!E38)-Scenarios!$E$33</f>
        <v>50699.406884904</v>
      </c>
      <c r="F9" s="25" t="n">
        <f aca="false">Scenarios!$E$21*F$4*(SUMPRODUCT(Scenarios!E14:E20,Assumptions!$F$41:$F$47)/MAX(1,Scenarios!E21))/1000*$A9*INDEX(Assumptions!$B$74:$D$74,Assumptions!$B$5)*INDEX(Assumptions!$B$75:$D$75,Assumptions!$B$5)+(Scenarios!E44-Scenarios!E38)-Scenarios!$E$33</f>
        <v>56992.206884904</v>
      </c>
      <c r="G9" s="25" t="n">
        <f aca="false">Scenarios!$E$21*G$4*(SUMPRODUCT(Scenarios!E14:E20,Assumptions!$F$41:$F$47)/MAX(1,Scenarios!E21))/1000*$A9*INDEX(Assumptions!$B$74:$D$74,Assumptions!$B$5)*INDEX(Assumptions!$B$75:$D$75,Assumptions!$B$5)+(Scenarios!E44-Scenarios!E38)-Scenarios!$E$33</f>
        <v>69577.806884904</v>
      </c>
      <c r="H9" s="25" t="n">
        <f aca="false">Scenarios!$E$21*H$4*(SUMPRODUCT(Scenarios!E14:E20,Assumptions!$F$41:$F$47)/MAX(1,Scenarios!E21))/1000*$A9*INDEX(Assumptions!$B$74:$D$74,Assumptions!$B$5)*INDEX(Assumptions!$B$75:$D$75,Assumptions!$B$5)+(Scenarios!E44-Scenarios!E38)-Scenarios!$E$33</f>
        <v>107334.606884904</v>
      </c>
    </row>
    <row r="10" customFormat="false" ht="15" hidden="false" customHeight="false" outlineLevel="0" collapsed="false">
      <c r="A10" s="20" t="n">
        <v>25</v>
      </c>
      <c r="B10" s="25" t="n">
        <f aca="false">Scenarios!$E$21*B$4*(SUMPRODUCT(Scenarios!E14:E20,Assumptions!$F$41:$F$47)/MAX(1,Scenarios!E21))/1000*$A10*INDEX(Assumptions!$B$74:$D$74,Assumptions!$B$5)*INDEX(Assumptions!$B$75:$D$75,Assumptions!$B$5)+(Scenarios!E44-Scenarios!E38)-Scenarios!$E$33</f>
        <v>45193.206884904</v>
      </c>
      <c r="C10" s="25" t="n">
        <f aca="false">Scenarios!$E$21*C$4*(SUMPRODUCT(Scenarios!E14:E20,Assumptions!$F$41:$F$47)/MAX(1,Scenarios!E21))/1000*$A10*INDEX(Assumptions!$B$74:$D$74,Assumptions!$B$5)*INDEX(Assumptions!$B$75:$D$75,Assumptions!$B$5)+(Scenarios!E44-Scenarios!E38)-Scenarios!$E$33</f>
        <v>45979.806884904</v>
      </c>
      <c r="D10" s="25" t="n">
        <f aca="false">Scenarios!$E$21*D$4*(SUMPRODUCT(Scenarios!E14:E20,Assumptions!$F$41:$F$47)/MAX(1,Scenarios!E21))/1000*$A10*INDEX(Assumptions!$B$74:$D$74,Assumptions!$B$5)*INDEX(Assumptions!$B$75:$D$75,Assumptions!$B$5)+(Scenarios!E44-Scenarios!E38)-Scenarios!$E$33</f>
        <v>47553.006884904</v>
      </c>
      <c r="E10" s="25" t="n">
        <f aca="false">Scenarios!$E$21*E$4*(SUMPRODUCT(Scenarios!E14:E20,Assumptions!$F$41:$F$47)/MAX(1,Scenarios!E21))/1000*$A10*INDEX(Assumptions!$B$74:$D$74,Assumptions!$B$5)*INDEX(Assumptions!$B$75:$D$75,Assumptions!$B$5)+(Scenarios!E44-Scenarios!E38)-Scenarios!$E$33</f>
        <v>52272.606884904</v>
      </c>
      <c r="F10" s="25" t="n">
        <f aca="false">Scenarios!$E$21*F$4*(SUMPRODUCT(Scenarios!E14:E20,Assumptions!$F$41:$F$47)/MAX(1,Scenarios!E21))/1000*$A10*INDEX(Assumptions!$B$74:$D$74,Assumptions!$B$5)*INDEX(Assumptions!$B$75:$D$75,Assumptions!$B$5)+(Scenarios!E44-Scenarios!E38)-Scenarios!$E$33</f>
        <v>60138.606884904</v>
      </c>
      <c r="G10" s="25" t="n">
        <f aca="false">Scenarios!$E$21*G$4*(SUMPRODUCT(Scenarios!E14:E20,Assumptions!$F$41:$F$47)/MAX(1,Scenarios!E21))/1000*$A10*INDEX(Assumptions!$B$74:$D$74,Assumptions!$B$5)*INDEX(Assumptions!$B$75:$D$75,Assumptions!$B$5)+(Scenarios!E44-Scenarios!E38)-Scenarios!$E$33</f>
        <v>75870.606884904</v>
      </c>
      <c r="H10" s="25" t="n">
        <f aca="false">Scenarios!$E$21*H$4*(SUMPRODUCT(Scenarios!E14:E20,Assumptions!$F$41:$F$47)/MAX(1,Scenarios!E21))/1000*$A10*INDEX(Assumptions!$B$74:$D$74,Assumptions!$B$5)*INDEX(Assumptions!$B$75:$D$75,Assumptions!$B$5)+(Scenarios!E44-Scenarios!E38)-Scenarios!$E$33</f>
        <v>123066.606884904</v>
      </c>
    </row>
    <row r="11" customFormat="false" ht="15" hidden="false" customHeight="false" outlineLevel="0" collapsed="false">
      <c r="A11" s="20" t="n">
        <v>30</v>
      </c>
      <c r="B11" s="25" t="n">
        <f aca="false">Scenarios!$E$21*B$4*(SUMPRODUCT(Scenarios!E14:E20,Assumptions!$F$41:$F$47)/MAX(1,Scenarios!E21))/1000*$A11*INDEX(Assumptions!$B$74:$D$74,Assumptions!$B$5)*INDEX(Assumptions!$B$75:$D$75,Assumptions!$B$5)+(Scenarios!E44-Scenarios!E38)-Scenarios!$E$33</f>
        <v>45350.526884904</v>
      </c>
      <c r="C11" s="25" t="n">
        <f aca="false">Scenarios!$E$21*C$4*(SUMPRODUCT(Scenarios!E14:E20,Assumptions!$F$41:$F$47)/MAX(1,Scenarios!E21))/1000*$A11*INDEX(Assumptions!$B$74:$D$74,Assumptions!$B$5)*INDEX(Assumptions!$B$75:$D$75,Assumptions!$B$5)+(Scenarios!E44-Scenarios!E38)-Scenarios!$E$33</f>
        <v>46294.446884904</v>
      </c>
      <c r="D11" s="25" t="n">
        <f aca="false">Scenarios!$E$21*D$4*(SUMPRODUCT(Scenarios!E14:E20,Assumptions!$F$41:$F$47)/MAX(1,Scenarios!E21))/1000*$A11*INDEX(Assumptions!$B$74:$D$74,Assumptions!$B$5)*INDEX(Assumptions!$B$75:$D$75,Assumptions!$B$5)+(Scenarios!E44-Scenarios!E38)-Scenarios!$E$33</f>
        <v>48182.286884904</v>
      </c>
      <c r="E11" s="25" t="n">
        <f aca="false">Scenarios!$E$21*E$4*(SUMPRODUCT(Scenarios!E14:E20,Assumptions!$F$41:$F$47)/MAX(1,Scenarios!E21))/1000*$A11*INDEX(Assumptions!$B$74:$D$74,Assumptions!$B$5)*INDEX(Assumptions!$B$75:$D$75,Assumptions!$B$5)+(Scenarios!E44-Scenarios!E38)-Scenarios!$E$33</f>
        <v>53845.806884904</v>
      </c>
      <c r="F11" s="25" t="n">
        <f aca="false">Scenarios!$E$21*F$4*(SUMPRODUCT(Scenarios!E14:E20,Assumptions!$F$41:$F$47)/MAX(1,Scenarios!E21))/1000*$A11*INDEX(Assumptions!$B$74:$D$74,Assumptions!$B$5)*INDEX(Assumptions!$B$75:$D$75,Assumptions!$B$5)+(Scenarios!E44-Scenarios!E38)-Scenarios!$E$33</f>
        <v>63285.006884904</v>
      </c>
      <c r="G11" s="25" t="n">
        <f aca="false">Scenarios!$E$21*G$4*(SUMPRODUCT(Scenarios!E14:E20,Assumptions!$F$41:$F$47)/MAX(1,Scenarios!E21))/1000*$A11*INDEX(Assumptions!$B$74:$D$74,Assumptions!$B$5)*INDEX(Assumptions!$B$75:$D$75,Assumptions!$B$5)+(Scenarios!E44-Scenarios!E38)-Scenarios!$E$33</f>
        <v>82163.406884904</v>
      </c>
      <c r="H11" s="25" t="n">
        <f aca="false">Scenarios!$E$21*H$4*(SUMPRODUCT(Scenarios!E14:E20,Assumptions!$F$41:$F$47)/MAX(1,Scenarios!E21))/1000*$A11*INDEX(Assumptions!$B$74:$D$74,Assumptions!$B$5)*INDEX(Assumptions!$B$75:$D$75,Assumptions!$B$5)+(Scenarios!E44-Scenarios!E38)-Scenarios!$E$33</f>
        <v>138798.606884904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4" t="s">
        <v>308</v>
      </c>
      <c r="B14" s="2"/>
      <c r="C14" s="2"/>
      <c r="D14" s="2"/>
      <c r="E14" s="2"/>
      <c r="F14" s="2"/>
      <c r="G14" s="2"/>
      <c r="H14" s="2"/>
    </row>
    <row r="15" customFormat="false" ht="64.9" hidden="false" customHeight="false" outlineLevel="0" collapsed="false">
      <c r="A15" s="5" t="s">
        <v>309</v>
      </c>
      <c r="B15" s="5" t="s">
        <v>310</v>
      </c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20" t="n">
        <v>5</v>
      </c>
      <c r="B16" s="23" t="n">
        <f aca="false">IFERROR((Scenarios!$E$33-(Scenarios!E44-Scenarios!E38))/(Scenarios!$E$21*(SUMPRODUCT(Scenarios!E14:E20,Assumptions!$F$41:$F$47)/MAX(1,Scenarios!E21))/1000*A16*INDEX(Assumptions!$B$74:$D$74,Assumptions!$B$5)*INDEX(Assumptions!$B$75:$D$75,Assumptions!$B$5)),0)</f>
        <v>-7056.73259676201</v>
      </c>
      <c r="C16" s="2"/>
      <c r="D16" s="2"/>
      <c r="E16" s="2"/>
      <c r="F16" s="2"/>
      <c r="G16" s="2"/>
      <c r="H16" s="2"/>
    </row>
    <row r="17" customFormat="false" ht="15" hidden="false" customHeight="false" outlineLevel="0" collapsed="false">
      <c r="A17" s="20" t="n">
        <v>8</v>
      </c>
      <c r="B17" s="23" t="n">
        <f aca="false">IFERROR((Scenarios!$E$33-(Scenarios!E44-Scenarios!E38))/(Scenarios!$E$21*(SUMPRODUCT(Scenarios!E14:E20,Assumptions!$F$41:$F$47)/MAX(1,Scenarios!E21))/1000*A17*INDEX(Assumptions!$B$74:$D$74,Assumptions!$B$5)*INDEX(Assumptions!$B$75:$D$75,Assumptions!$B$5)),0)</f>
        <v>-4410.45787297626</v>
      </c>
      <c r="C17" s="2"/>
      <c r="D17" s="2"/>
      <c r="E17" s="2"/>
      <c r="F17" s="2"/>
      <c r="G17" s="2"/>
      <c r="H17" s="2"/>
    </row>
    <row r="18" customFormat="false" ht="15" hidden="false" customHeight="false" outlineLevel="0" collapsed="false">
      <c r="A18" s="20" t="n">
        <v>10</v>
      </c>
      <c r="B18" s="23" t="n">
        <f aca="false">IFERROR((Scenarios!$E$33-(Scenarios!E44-Scenarios!E38))/(Scenarios!$E$21*(SUMPRODUCT(Scenarios!E14:E20,Assumptions!$F$41:$F$47)/MAX(1,Scenarios!E21))/1000*A18*INDEX(Assumptions!$B$74:$D$74,Assumptions!$B$5)*INDEX(Assumptions!$B$75:$D$75,Assumptions!$B$5)),0)</f>
        <v>-3528.36629838101</v>
      </c>
      <c r="C18" s="2"/>
      <c r="D18" s="2"/>
      <c r="E18" s="2"/>
      <c r="F18" s="2"/>
      <c r="G18" s="2"/>
      <c r="H18" s="2"/>
    </row>
    <row r="19" customFormat="false" ht="15" hidden="false" customHeight="false" outlineLevel="0" collapsed="false">
      <c r="A19" s="20" t="n">
        <v>15</v>
      </c>
      <c r="B19" s="23" t="n">
        <f aca="false">IFERROR((Scenarios!$E$33-(Scenarios!E44-Scenarios!E38))/(Scenarios!$E$21*(SUMPRODUCT(Scenarios!E14:E20,Assumptions!$F$41:$F$47)/MAX(1,Scenarios!E21))/1000*A19*INDEX(Assumptions!$B$74:$D$74,Assumptions!$B$5)*INDEX(Assumptions!$B$75:$D$75,Assumptions!$B$5)),0)</f>
        <v>-2352.24419892067</v>
      </c>
      <c r="C19" s="2"/>
      <c r="D19" s="2"/>
      <c r="E19" s="2"/>
      <c r="F19" s="2"/>
      <c r="G19" s="2"/>
      <c r="H19" s="2"/>
    </row>
    <row r="20" customFormat="false" ht="15" hidden="false" customHeight="false" outlineLevel="0" collapsed="false">
      <c r="A20" s="20" t="n">
        <v>20</v>
      </c>
      <c r="B20" s="23" t="n">
        <f aca="false">IFERROR((Scenarios!$E$33-(Scenarios!E44-Scenarios!E38))/(Scenarios!$E$21*(SUMPRODUCT(Scenarios!E14:E20,Assumptions!$F$41:$F$47)/MAX(1,Scenarios!E21))/1000*A20*INDEX(Assumptions!$B$74:$D$74,Assumptions!$B$5)*INDEX(Assumptions!$B$75:$D$75,Assumptions!$B$5)),0)</f>
        <v>-1764.1831491905</v>
      </c>
      <c r="C20" s="2"/>
      <c r="D20" s="2"/>
      <c r="E20" s="2"/>
      <c r="F20" s="2"/>
      <c r="G20" s="2"/>
      <c r="H20" s="2"/>
    </row>
    <row r="21" customFormat="false" ht="15" hidden="false" customHeight="false" outlineLevel="0" collapsed="false">
      <c r="A21" s="20" t="n">
        <v>25</v>
      </c>
      <c r="B21" s="23" t="n">
        <f aca="false">IFERROR((Scenarios!$E$33-(Scenarios!E44-Scenarios!E38))/(Scenarios!$E$21*(SUMPRODUCT(Scenarios!E14:E20,Assumptions!$F$41:$F$47)/MAX(1,Scenarios!E21))/1000*A21*INDEX(Assumptions!$B$74:$D$74,Assumptions!$B$5)*INDEX(Assumptions!$B$75:$D$75,Assumptions!$B$5)),0)</f>
        <v>-1411.3465193524</v>
      </c>
      <c r="C21" s="2"/>
      <c r="D21" s="2"/>
      <c r="E21" s="2"/>
      <c r="F21" s="2"/>
      <c r="G21" s="2"/>
      <c r="H21" s="2"/>
    </row>
    <row r="22" customFormat="false" ht="15" hidden="false" customHeight="false" outlineLevel="0" collapsed="false">
      <c r="A22" s="20" t="n">
        <v>30</v>
      </c>
      <c r="B22" s="23" t="n">
        <f aca="false">IFERROR((Scenarios!$E$33-(Scenarios!E44-Scenarios!E38))/(Scenarios!$E$21*(SUMPRODUCT(Scenarios!E14:E20,Assumptions!$F$41:$F$47)/MAX(1,Scenarios!E21))/1000*A22*INDEX(Assumptions!$B$74:$D$74,Assumptions!$B$5)*INDEX(Assumptions!$B$75:$D$75,Assumptions!$B$5)),0)</f>
        <v>-1176.12209946034</v>
      </c>
      <c r="C22" s="2"/>
      <c r="D22" s="2"/>
      <c r="E22" s="2"/>
      <c r="F22" s="2"/>
      <c r="G22" s="2"/>
      <c r="H2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311</v>
      </c>
      <c r="B1" s="2"/>
    </row>
    <row r="2" customFormat="false" ht="15" hidden="false" customHeight="false" outlineLevel="0" collapsed="false">
      <c r="A2" s="3" t="s">
        <v>312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5" t="s">
        <v>313</v>
      </c>
      <c r="B4" s="5" t="s">
        <v>314</v>
      </c>
    </row>
    <row r="5" customFormat="false" ht="15" hidden="false" customHeight="false" outlineLevel="0" collapsed="false">
      <c r="A5" s="2" t="s">
        <v>315</v>
      </c>
      <c r="B5" s="2" t="s">
        <v>316</v>
      </c>
    </row>
    <row r="6" customFormat="false" ht="15" hidden="false" customHeight="false" outlineLevel="0" collapsed="false">
      <c r="A6" s="2" t="s">
        <v>317</v>
      </c>
      <c r="B6" s="2" t="s">
        <v>318</v>
      </c>
    </row>
    <row r="7" customFormat="false" ht="15" hidden="false" customHeight="false" outlineLevel="0" collapsed="false">
      <c r="A7" s="2" t="s">
        <v>319</v>
      </c>
      <c r="B7" s="2" t="s">
        <v>320</v>
      </c>
    </row>
    <row r="8" customFormat="false" ht="15" hidden="false" customHeight="false" outlineLevel="0" collapsed="false">
      <c r="A8" s="2" t="s">
        <v>321</v>
      </c>
      <c r="B8" s="2" t="s">
        <v>322</v>
      </c>
    </row>
    <row r="9" customFormat="false" ht="15" hidden="false" customHeight="false" outlineLevel="0" collapsed="false">
      <c r="A9" s="2" t="s">
        <v>323</v>
      </c>
      <c r="B9" s="2" t="s">
        <v>324</v>
      </c>
    </row>
    <row r="10" customFormat="false" ht="15" hidden="false" customHeight="false" outlineLevel="0" collapsed="false">
      <c r="A10" s="2" t="s">
        <v>325</v>
      </c>
      <c r="B10" s="2" t="s">
        <v>326</v>
      </c>
    </row>
    <row r="11" customFormat="false" ht="15" hidden="false" customHeight="false" outlineLevel="0" collapsed="false">
      <c r="A11" s="2" t="s">
        <v>327</v>
      </c>
      <c r="B11" s="2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2026-10-11T15:25:39Z</dcterms:created>
  <dc:creator>openpyxl</dc:creator>
  <dc:description/>
  <dc:language>en-US</dc:language>
  <cp:lastModifiedBy/>
  <dcterms:modified xsi:type="dcterms:W3CDTF">2026-10-11T15:25:39Z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